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rly Observations" sheetId="2" state="visible" r:id="rId2"/>
    <sheet xmlns:r="http://schemas.openxmlformats.org/officeDocument/2006/relationships" name="Execution Plan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Client Mapping" sheetId="5" state="visible" r:id="rId5"/>
    <sheet xmlns:r="http://schemas.openxmlformats.org/officeDocument/2006/relationships" name="Functional Testing" sheetId="6" state="visible" r:id="rId6"/>
    <sheet xmlns:r="http://schemas.openxmlformats.org/officeDocument/2006/relationships" name="Defects" sheetId="7" state="visible" r:id="rId7"/>
    <sheet xmlns:r="http://schemas.openxmlformats.org/officeDocument/2006/relationships" name="Regression Test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"/>
      <family val="2"/>
      <b val="1"/>
      <color theme="1"/>
      <sz val="11"/>
    </font>
    <font>
      <name val="Aptos Narrow"/>
      <charset val="1"/>
      <sz val="11"/>
    </font>
    <font>
      <name val="Aptos Narrow"/>
      <charset val="1"/>
      <b val="1"/>
      <sz val="11"/>
    </font>
    <font>
      <name val="Aptos Narrow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8718222602009"/>
        <bgColor rgb="FFC0C0C0"/>
      </patternFill>
    </fill>
    <fill>
      <patternFill patternType="solid">
        <fgColor theme="0"/>
        <bgColor rgb="FF1A472A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0" fillId="2" borderId="1" pivotButton="0" quotePrefix="0" xfId="0"/>
    <xf numFmtId="0" fontId="1" fillId="3" borderId="1" applyAlignment="1" pivotButton="0" quotePrefix="0" xfId="0">
      <alignment vertical="top" wrapText="1"/>
    </xf>
    <xf numFmtId="0" fontId="1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1" fillId="0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4" borderId="1" applyAlignment="1" pivotButton="0" quotePrefix="0" xfId="0">
      <alignment vertical="center" wrapText="1"/>
    </xf>
    <xf numFmtId="0" fontId="5" fillId="5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I17" sqref="I17"/>
    </sheetView>
  </sheetViews>
  <sheetFormatPr baseColWidth="8" defaultRowHeight="15"/>
  <cols>
    <col width="37.5703125" bestFit="1" customWidth="1" min="1" max="1"/>
    <col width="22.140625" customWidth="1" min="2" max="2"/>
    <col width="12.5703125" customWidth="1" min="3" max="3"/>
    <col width="20.42578125" customWidth="1" min="5" max="5"/>
    <col width="16.85546875" bestFit="1" customWidth="1" min="6" max="6"/>
    <col width="15.85546875" customWidth="1" min="7" max="7"/>
  </cols>
  <sheetData>
    <row r="1">
      <c r="A1" s="14" t="inlineStr">
        <is>
          <t>Project Name/ Number</t>
        </is>
      </c>
      <c r="B1" s="13" t="n"/>
      <c r="C1" s="29" t="n"/>
      <c r="D1" s="29" t="n"/>
      <c r="E1" s="29" t="n"/>
      <c r="F1" s="29" t="n"/>
      <c r="G1" s="30" t="n"/>
    </row>
    <row r="2">
      <c r="A2" s="14" t="inlineStr">
        <is>
          <t>Test Case Authorizing Date</t>
        </is>
      </c>
      <c r="B2" s="12" t="n"/>
      <c r="C2" s="15" t="inlineStr">
        <is>
          <t>Application</t>
        </is>
      </c>
      <c r="D2" s="31" t="n"/>
      <c r="E2" s="12" t="n"/>
      <c r="F2" s="15" t="inlineStr">
        <is>
          <t>Authorizing Effort</t>
        </is>
      </c>
      <c r="G2" s="12" t="n"/>
    </row>
    <row r="3">
      <c r="A3" s="32" t="n"/>
      <c r="B3" s="32" t="n"/>
      <c r="C3" s="33" t="n"/>
      <c r="D3" s="34" t="n"/>
      <c r="E3" s="32" t="n"/>
      <c r="F3" s="15" t="inlineStr">
        <is>
          <t>Execution Effort</t>
        </is>
      </c>
      <c r="G3" s="12" t="n"/>
    </row>
    <row r="4">
      <c r="A4" s="14" t="inlineStr">
        <is>
          <t>Plan Author</t>
        </is>
      </c>
      <c r="B4" s="13" t="n"/>
      <c r="C4" s="29" t="n"/>
      <c r="D4" s="29" t="n"/>
      <c r="E4" s="29" t="n"/>
      <c r="F4" s="29" t="n"/>
      <c r="G4" s="30" t="n"/>
    </row>
    <row r="5">
      <c r="A5" s="14" t="inlineStr">
        <is>
          <t>Test Execution Date</t>
        </is>
      </c>
      <c r="B5" s="12" t="n"/>
      <c r="C5" s="15" t="inlineStr">
        <is>
          <t>Version</t>
        </is>
      </c>
      <c r="D5" s="31" t="n"/>
      <c r="E5" s="12" t="n"/>
      <c r="F5" s="15" t="inlineStr">
        <is>
          <t>Environment</t>
        </is>
      </c>
      <c r="G5" s="12" t="n"/>
    </row>
    <row r="6">
      <c r="A6" s="32" t="n"/>
      <c r="B6" s="32" t="n"/>
      <c r="C6" s="33" t="n"/>
      <c r="D6" s="34" t="n"/>
      <c r="E6" s="32" t="n"/>
      <c r="F6" s="15" t="inlineStr">
        <is>
          <t>Actual Time</t>
        </is>
      </c>
      <c r="G6" s="12" t="n"/>
    </row>
    <row r="7">
      <c r="A7" s="14" t="inlineStr">
        <is>
          <t>Test Executed By</t>
        </is>
      </c>
      <c r="B7" s="13" t="n"/>
      <c r="C7" s="29" t="n"/>
      <c r="D7" s="29" t="n"/>
      <c r="E7" s="29" t="n"/>
      <c r="F7" s="29" t="n"/>
      <c r="G7" s="30" t="n"/>
    </row>
    <row r="8">
      <c r="A8" s="14" t="inlineStr">
        <is>
          <t>Test Status</t>
        </is>
      </c>
      <c r="B8" s="12" t="n"/>
      <c r="C8" s="29" t="n"/>
      <c r="D8" s="29" t="n"/>
      <c r="E8" s="29" t="n"/>
      <c r="F8" s="29" t="n"/>
      <c r="G8" s="30" t="n"/>
    </row>
    <row r="9">
      <c r="A9" s="14" t="inlineStr">
        <is>
          <t>Scope</t>
        </is>
      </c>
      <c r="B9" s="12" t="n"/>
      <c r="C9" s="29" t="n"/>
      <c r="D9" s="29" t="n"/>
      <c r="E9" s="29" t="n"/>
      <c r="F9" s="29" t="n"/>
      <c r="G9" s="30" t="n"/>
    </row>
    <row r="10">
      <c r="A10" s="14" t="inlineStr">
        <is>
          <t>Test Purpose or Objective</t>
        </is>
      </c>
      <c r="B10" s="12" t="n"/>
      <c r="C10" s="29" t="n"/>
      <c r="D10" s="29" t="n"/>
      <c r="E10" s="29" t="n"/>
      <c r="F10" s="29" t="n"/>
      <c r="G10" s="30" t="n"/>
    </row>
    <row r="11">
      <c r="A11" s="14" t="inlineStr">
        <is>
          <t>Set Up Requirements or Considerations</t>
        </is>
      </c>
      <c r="B11" s="12" t="n"/>
      <c r="C11" s="29" t="n"/>
      <c r="D11" s="29" t="n"/>
      <c r="E11" s="29" t="n"/>
      <c r="F11" s="29" t="n"/>
      <c r="G11" s="30" t="n"/>
    </row>
    <row r="12">
      <c r="A12" s="14" t="inlineStr">
        <is>
          <t>Notes or Special Instructions</t>
        </is>
      </c>
      <c r="B12" s="12" t="n"/>
      <c r="C12" s="29" t="n"/>
      <c r="D12" s="29" t="n"/>
      <c r="E12" s="29" t="n"/>
      <c r="F12" s="29" t="n"/>
      <c r="G12" s="30" t="n"/>
    </row>
    <row r="13">
      <c r="A13" s="14" t="inlineStr">
        <is>
          <t>Database Changes</t>
        </is>
      </c>
      <c r="B13" s="12" t="n"/>
      <c r="C13" s="29" t="n"/>
      <c r="D13" s="29" t="n"/>
      <c r="E13" s="29" t="n"/>
      <c r="F13" s="29" t="n"/>
      <c r="G13" s="30" t="n"/>
    </row>
    <row r="14">
      <c r="A14" s="14" t="inlineStr">
        <is>
          <t>Hardware or Network</t>
        </is>
      </c>
      <c r="B14" s="12" t="n"/>
      <c r="C14" s="29" t="n"/>
      <c r="D14" s="29" t="n"/>
      <c r="E14" s="29" t="n"/>
      <c r="F14" s="29" t="n"/>
      <c r="G14" s="30" t="n"/>
    </row>
    <row r="15">
      <c r="A15" s="14" t="inlineStr">
        <is>
          <t>Items not included in test</t>
        </is>
      </c>
      <c r="B15" s="12" t="n"/>
      <c r="C15" s="29" t="n"/>
      <c r="D15" s="29" t="n"/>
      <c r="E15" s="29" t="n"/>
      <c r="F15" s="29" t="n"/>
      <c r="G15" s="30" t="n"/>
    </row>
    <row r="16">
      <c r="A16" s="14" t="inlineStr">
        <is>
          <t>Assumptions</t>
        </is>
      </c>
      <c r="B16" s="12" t="n"/>
      <c r="C16" s="29" t="n"/>
      <c r="D16" s="29" t="n"/>
      <c r="E16" s="29" t="n"/>
      <c r="F16" s="29" t="n"/>
      <c r="G16" s="30" t="n"/>
    </row>
    <row r="17">
      <c r="A17" s="4" t="n"/>
      <c r="B17" s="12" t="n"/>
      <c r="C17" s="12" t="n"/>
      <c r="D17" s="12" t="n"/>
      <c r="E17" s="12" t="n"/>
      <c r="F17" s="12" t="n"/>
      <c r="G17" s="12" t="n"/>
    </row>
    <row r="18">
      <c r="A18" s="14" t="inlineStr">
        <is>
          <t>Work Sheets in Test plan</t>
        </is>
      </c>
      <c r="B18" s="12" t="n"/>
      <c r="C18" s="29" t="n"/>
      <c r="D18" s="29" t="n"/>
      <c r="E18" s="29" t="n"/>
      <c r="F18" s="29" t="n"/>
      <c r="G18" s="30" t="n"/>
    </row>
    <row r="19">
      <c r="A19" s="14" t="inlineStr">
        <is>
          <t>Defect List</t>
        </is>
      </c>
      <c r="B19" s="12" t="n"/>
      <c r="C19" s="29" t="n"/>
      <c r="D19" s="29" t="n"/>
      <c r="E19" s="29" t="n"/>
      <c r="F19" s="29" t="n"/>
      <c r="G19" s="30" t="n"/>
    </row>
  </sheetData>
  <mergeCells count="22">
    <mergeCell ref="E5:E6"/>
    <mergeCell ref="B14:G14"/>
    <mergeCell ref="C2:D3"/>
    <mergeCell ref="B1:G1"/>
    <mergeCell ref="B8:G8"/>
    <mergeCell ref="B2:B3"/>
    <mergeCell ref="B13:G13"/>
    <mergeCell ref="B19:G19"/>
    <mergeCell ref="B10:G10"/>
    <mergeCell ref="B9:G9"/>
    <mergeCell ref="A2:A3"/>
    <mergeCell ref="E2:E3"/>
    <mergeCell ref="B15:G15"/>
    <mergeCell ref="A5:A6"/>
    <mergeCell ref="C5:D6"/>
    <mergeCell ref="B4:G4"/>
    <mergeCell ref="B5:B6"/>
    <mergeCell ref="B7:G7"/>
    <mergeCell ref="B16:G16"/>
    <mergeCell ref="B12:G12"/>
    <mergeCell ref="B18:G18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I18" sqref="I18"/>
    </sheetView>
  </sheetViews>
  <sheetFormatPr baseColWidth="8" defaultRowHeight="15"/>
  <sheetData>
    <row r="1" ht="45" customHeight="1">
      <c r="A1" s="27" t="inlineStr">
        <is>
          <t>#</t>
        </is>
      </c>
      <c r="B1" s="27" t="inlineStr">
        <is>
          <t>Page</t>
        </is>
      </c>
      <c r="C1" s="27" t="inlineStr">
        <is>
          <t>Observation</t>
        </is>
      </c>
      <c r="D1" s="27" t="inlineStr">
        <is>
          <t>Why it matters</t>
        </is>
      </c>
      <c r="E1" s="27" t="inlineStr">
        <is>
          <t>Linked Test Case</t>
        </is>
      </c>
      <c r="F1" s="27" t="inlineStr">
        <is>
          <t>Status</t>
        </is>
      </c>
      <c r="G1" s="28" t="n"/>
      <c r="H1" s="28" t="n"/>
      <c r="I1" s="2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:XFD1"/>
    </sheetView>
  </sheetViews>
  <sheetFormatPr baseColWidth="8" defaultRowHeight="15"/>
  <sheetData>
    <row r="1" ht="45" customHeight="1">
      <c r="A1" s="20" t="inlineStr">
        <is>
          <t>Phase</t>
        </is>
      </c>
      <c r="B1" s="20" t="inlineStr">
        <is>
          <t>When</t>
        </is>
      </c>
      <c r="C1" s="20" t="inlineStr">
        <is>
          <t>Test Case Ids</t>
        </is>
      </c>
      <c r="D1" s="20" t="inlineStr">
        <is>
          <t>Dependency and notes</t>
        </is>
      </c>
      <c r="E1" s="20" t="inlineStr">
        <is>
          <t>Est. hours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13" workbookViewId="0">
      <selection activeCell="C46" sqref="C46"/>
    </sheetView>
  </sheetViews>
  <sheetFormatPr baseColWidth="8" defaultColWidth="8.5703125" defaultRowHeight="15"/>
  <cols>
    <col width="38.42578125" bestFit="1" customWidth="1" min="1" max="1"/>
    <col width="46.7109375" bestFit="1" customWidth="1" min="2" max="2"/>
    <col width="19.5703125" bestFit="1" customWidth="1" min="3" max="3"/>
    <col width="4.140625" bestFit="1" customWidth="1" min="4" max="4"/>
    <col width="8.140625" bestFit="1" customWidth="1" min="5" max="5"/>
    <col width="13.28515625" bestFit="1" customWidth="1" min="6" max="6"/>
    <col width="11.42578125" bestFit="1" customWidth="1" min="7" max="7"/>
  </cols>
  <sheetData>
    <row r="1">
      <c r="A1" s="20" t="inlineStr">
        <is>
          <t>Test Type</t>
        </is>
      </c>
      <c r="B1" s="20" t="inlineStr">
        <is>
          <t>Total</t>
        </is>
      </c>
      <c r="C1" s="20" t="inlineStr">
        <is>
          <t>Pass</t>
        </is>
      </c>
      <c r="D1" s="20" t="inlineStr">
        <is>
          <t>Fail</t>
        </is>
      </c>
      <c r="E1" s="20" t="inlineStr">
        <is>
          <t>Blocked</t>
        </is>
      </c>
      <c r="F1" s="20" t="inlineStr">
        <is>
          <t>Not Executed</t>
        </is>
      </c>
      <c r="G1" s="20" t="inlineStr">
        <is>
          <t>% Executed</t>
        </is>
      </c>
    </row>
    <row r="2">
      <c r="A2" s="22" t="inlineStr">
        <is>
          <t>Accessibility</t>
        </is>
      </c>
      <c r="B2" s="22">
        <f>COUNTIF('Functional Testing'!$M$2:$M$349,A2)</f>
        <v/>
      </c>
      <c r="C2" s="22">
        <f>COUNTIFS('Functional Testing'!$M$2:$M$349,$A2,'Functional Testing'!$L$2:$L$349,"Pass")</f>
        <v/>
      </c>
      <c r="D2" s="22">
        <f>COUNTIFS('Functional Testing'!$M$2:$M$349,$A2,'Functional Testing'!$L$2:$L$349,"Fail")</f>
        <v/>
      </c>
      <c r="E2" s="22">
        <f>COUNTIFS('Functional Testing'!$M$2:$M$349,$A2,'Functional Testing'!$L$2:$L$349,"Blocked")</f>
        <v/>
      </c>
      <c r="F2" s="22">
        <f>COUNTIFS('Functional Testing'!$M$2:$M$349,$A2,'Functional Testing'!$L$2:$L$349,"Not Executed")</f>
        <v/>
      </c>
      <c r="G2" s="23">
        <f>IF(B2=0,0,(C2+D2+E2)/B2)</f>
        <v/>
      </c>
    </row>
    <row r="3">
      <c r="A3" s="22" t="inlineStr">
        <is>
          <t>Admin</t>
        </is>
      </c>
      <c r="B3" s="22">
        <f>COUNTIF('Functional Testing'!$M$2:$M$349,A3)</f>
        <v/>
      </c>
      <c r="C3" s="22">
        <f>COUNTIFS('Functional Testing'!$M$2:$M$349,$A3,'Functional Testing'!$L$2:$L$349,"Pass")</f>
        <v/>
      </c>
      <c r="D3" s="22">
        <f>COUNTIFS('Functional Testing'!$M$2:$M$349,$A3,'Functional Testing'!$L$2:$L$349,"Fail")</f>
        <v/>
      </c>
      <c r="E3" s="22">
        <f>COUNTIFS('Functional Testing'!$M$2:$M$349,$A3,'Functional Testing'!$L$2:$L$349,"Blocked")</f>
        <v/>
      </c>
      <c r="F3" s="22">
        <f>COUNTIFS('Functional Testing'!$M$2:$M$349,$A3,'Functional Testing'!$L$2:$L$349,"Not Executed")</f>
        <v/>
      </c>
      <c r="G3" s="23">
        <f>IF(B3=0,0,(C3+D3+E3)/B3)</f>
        <v/>
      </c>
    </row>
    <row r="4">
      <c r="A4" s="22" t="inlineStr">
        <is>
          <t>Boundary</t>
        </is>
      </c>
      <c r="B4" s="22">
        <f>COUNTIF('Functional Testing'!$M$2:$M$349,A4)</f>
        <v/>
      </c>
      <c r="C4" s="22">
        <f>COUNTIFS('Functional Testing'!$M$2:$M$349,$A4,'Functional Testing'!$L$2:$L$349,"Pass")</f>
        <v/>
      </c>
      <c r="D4" s="22">
        <f>COUNTIFS('Functional Testing'!$M$2:$M$349,$A4,'Functional Testing'!$L$2:$L$349,"Fail")</f>
        <v/>
      </c>
      <c r="E4" s="22">
        <f>COUNTIFS('Functional Testing'!$M$2:$M$349,$A4,'Functional Testing'!$L$2:$L$349,"Blocked")</f>
        <v/>
      </c>
      <c r="F4" s="22">
        <f>COUNTIFS('Functional Testing'!$M$2:$M$349,$A4,'Functional Testing'!$L$2:$L$349,"Not Executed")</f>
        <v/>
      </c>
      <c r="G4" s="23">
        <f>IF(B4=0,0,(C4+D4+E4)/B4)</f>
        <v/>
      </c>
    </row>
    <row r="5">
      <c r="A5" s="22" t="inlineStr">
        <is>
          <t>Compatibility</t>
        </is>
      </c>
      <c r="B5" s="22">
        <f>COUNTIF('Functional Testing'!$M$2:$M$349,A5)</f>
        <v/>
      </c>
      <c r="C5" s="22">
        <f>COUNTIFS('Functional Testing'!$M$2:$M$349,$A5,'Functional Testing'!$L$2:$L$349,"Pass")</f>
        <v/>
      </c>
      <c r="D5" s="22">
        <f>COUNTIFS('Functional Testing'!$M$2:$M$349,$A5,'Functional Testing'!$L$2:$L$349,"Fail")</f>
        <v/>
      </c>
      <c r="E5" s="22">
        <f>COUNTIFS('Functional Testing'!$M$2:$M$349,$A5,'Functional Testing'!$L$2:$L$349,"Blocked")</f>
        <v/>
      </c>
      <c r="F5" s="22">
        <f>COUNTIFS('Functional Testing'!$M$2:$M$349,$A5,'Functional Testing'!$L$2:$L$349,"Not Executed")</f>
        <v/>
      </c>
      <c r="G5" s="23">
        <f>IF(B5=0,0,(C5+D5+E5)/B5)</f>
        <v/>
      </c>
    </row>
    <row r="6">
      <c r="A6" s="22" t="inlineStr">
        <is>
          <t>Content</t>
        </is>
      </c>
      <c r="B6" s="22">
        <f>COUNTIF('Functional Testing'!$M$2:$M$349,A6)</f>
        <v/>
      </c>
      <c r="C6" s="22">
        <f>COUNTIFS('Functional Testing'!$M$2:$M$349,$A6,'Functional Testing'!$L$2:$L$349,"Pass")</f>
        <v/>
      </c>
      <c r="D6" s="22">
        <f>COUNTIFS('Functional Testing'!$M$2:$M$349,$A6,'Functional Testing'!$L$2:$L$349,"Fail")</f>
        <v/>
      </c>
      <c r="E6" s="22">
        <f>COUNTIFS('Functional Testing'!$M$2:$M$349,$A6,'Functional Testing'!$L$2:$L$349,"Blocked")</f>
        <v/>
      </c>
      <c r="F6" s="22">
        <f>COUNTIFS('Functional Testing'!$M$2:$M$349,$A6,'Functional Testing'!$L$2:$L$349,"Not Executed")</f>
        <v/>
      </c>
      <c r="G6" s="23">
        <f>IF(B6=0,0,(C6+D6+E6)/B6)</f>
        <v/>
      </c>
    </row>
    <row r="7">
      <c r="A7" s="22" t="inlineStr">
        <is>
          <t>Data Integrity</t>
        </is>
      </c>
      <c r="B7" s="22">
        <f>COUNTIF('Functional Testing'!$M$2:$M$349,A7)</f>
        <v/>
      </c>
      <c r="C7" s="22">
        <f>COUNTIFS('Functional Testing'!$M$2:$M$349,$A7,'Functional Testing'!$L$2:$L$349,"Pass")</f>
        <v/>
      </c>
      <c r="D7" s="22">
        <f>COUNTIFS('Functional Testing'!$M$2:$M$349,$A7,'Functional Testing'!$L$2:$L$349,"Fail")</f>
        <v/>
      </c>
      <c r="E7" s="22">
        <f>COUNTIFS('Functional Testing'!$M$2:$M$349,$A7,'Functional Testing'!$L$2:$L$349,"Blocked")</f>
        <v/>
      </c>
      <c r="F7" s="22">
        <f>COUNTIFS('Functional Testing'!$M$2:$M$349,$A7,'Functional Testing'!$L$2:$L$349,"Not Executed")</f>
        <v/>
      </c>
      <c r="G7" s="23">
        <f>IF(B7=0,0,(C7+D7+E7)/B7)</f>
        <v/>
      </c>
    </row>
    <row r="8">
      <c r="A8" s="22" t="inlineStr">
        <is>
          <t>Email</t>
        </is>
      </c>
      <c r="B8" s="22">
        <f>COUNTIF('Functional Testing'!$M$2:$M$349,A8)</f>
        <v/>
      </c>
      <c r="C8" s="22">
        <f>COUNTIFS('Functional Testing'!$M$2:$M$349,$A8,'Functional Testing'!$L$2:$L$349,"Pass")</f>
        <v/>
      </c>
      <c r="D8" s="22">
        <f>COUNTIFS('Functional Testing'!$M$2:$M$349,$A8,'Functional Testing'!$L$2:$L$349,"Fail")</f>
        <v/>
      </c>
      <c r="E8" s="22">
        <f>COUNTIFS('Functional Testing'!$M$2:$M$349,$A8,'Functional Testing'!$L$2:$L$349,"Blocked")</f>
        <v/>
      </c>
      <c r="F8" s="22">
        <f>COUNTIFS('Functional Testing'!$M$2:$M$349,$A8,'Functional Testing'!$L$2:$L$349,"Not Executed")</f>
        <v/>
      </c>
      <c r="G8" s="23">
        <f>IF(B8=0,0,(C8+D8+E8)/B8)</f>
        <v/>
      </c>
    </row>
    <row r="9">
      <c r="A9" s="22" t="inlineStr">
        <is>
          <t>End-to-End</t>
        </is>
      </c>
      <c r="B9" s="22">
        <f>COUNTIF('Functional Testing'!$M$2:$M$349,A9)</f>
        <v/>
      </c>
      <c r="C9" s="22">
        <f>COUNTIFS('Functional Testing'!$M$2:$M$349,$A9,'Functional Testing'!$L$2:$L$349,"Pass")</f>
        <v/>
      </c>
      <c r="D9" s="22">
        <f>COUNTIFS('Functional Testing'!$M$2:$M$349,$A9,'Functional Testing'!$L$2:$L$349,"Fail")</f>
        <v/>
      </c>
      <c r="E9" s="22">
        <f>COUNTIFS('Functional Testing'!$M$2:$M$349,$A9,'Functional Testing'!$L$2:$L$349,"Blocked")</f>
        <v/>
      </c>
      <c r="F9" s="22">
        <f>COUNTIFS('Functional Testing'!$M$2:$M$349,$A9,'Functional Testing'!$L$2:$L$349,"Not Executed")</f>
        <v/>
      </c>
      <c r="G9" s="23">
        <f>IF(B9=0,0,(C9+D9+E9)/B9)</f>
        <v/>
      </c>
    </row>
    <row r="10">
      <c r="A10" s="22" t="inlineStr">
        <is>
          <t>Error Handling</t>
        </is>
      </c>
      <c r="B10" s="22">
        <f>COUNTIF('Functional Testing'!$M$2:$M$349,A10)</f>
        <v/>
      </c>
      <c r="C10" s="22">
        <f>COUNTIFS('Functional Testing'!$M$2:$M$349,$A10,'Functional Testing'!$L$2:$L$349,"Pass")</f>
        <v/>
      </c>
      <c r="D10" s="22">
        <f>COUNTIFS('Functional Testing'!$M$2:$M$349,$A10,'Functional Testing'!$L$2:$L$349,"Fail")</f>
        <v/>
      </c>
      <c r="E10" s="22">
        <f>COUNTIFS('Functional Testing'!$M$2:$M$349,$A10,'Functional Testing'!$L$2:$L$349,"Blocked")</f>
        <v/>
      </c>
      <c r="F10" s="22">
        <f>COUNTIFS('Functional Testing'!$M$2:$M$349,$A10,'Functional Testing'!$L$2:$L$349,"Not Executed")</f>
        <v/>
      </c>
      <c r="G10" s="23">
        <f>IF(B10=0,0,(C10+D10+E10)/B10)</f>
        <v/>
      </c>
    </row>
    <row r="11">
      <c r="A11" s="22" t="inlineStr">
        <is>
          <t>Exploratory</t>
        </is>
      </c>
      <c r="B11" s="22">
        <f>COUNTIF('Functional Testing'!$M$2:$M$349,A11)</f>
        <v/>
      </c>
      <c r="C11" s="22">
        <f>COUNTIFS('Functional Testing'!$M$2:$M$349,$A11,'Functional Testing'!$L$2:$L$349,"Pass")</f>
        <v/>
      </c>
      <c r="D11" s="22">
        <f>COUNTIFS('Functional Testing'!$M$2:$M$349,$A11,'Functional Testing'!$L$2:$L$349,"Fail")</f>
        <v/>
      </c>
      <c r="E11" s="22">
        <f>COUNTIFS('Functional Testing'!$M$2:$M$349,$A11,'Functional Testing'!$L$2:$L$349,"Blocked")</f>
        <v/>
      </c>
      <c r="F11" s="22">
        <f>COUNTIFS('Functional Testing'!$M$2:$M$349,$A11,'Functional Testing'!$L$2:$L$349,"Not Executed")</f>
        <v/>
      </c>
      <c r="G11" s="23">
        <f>IF(B11=0,0,(C11+D11+E11)/B11)</f>
        <v/>
      </c>
    </row>
    <row r="12">
      <c r="A12" s="22" t="inlineStr">
        <is>
          <t>Functional</t>
        </is>
      </c>
      <c r="B12" s="22">
        <f>COUNTIF('Functional Testing'!$M$2:$M$349,A12)</f>
        <v/>
      </c>
      <c r="C12" s="22">
        <f>COUNTIFS('Functional Testing'!$M$2:$M$349,$A12,'Functional Testing'!$L$2:$L$349,"Pass")</f>
        <v/>
      </c>
      <c r="D12" s="22">
        <f>COUNTIFS('Functional Testing'!$M$2:$M$349,$A12,'Functional Testing'!$L$2:$L$349,"Fail")</f>
        <v/>
      </c>
      <c r="E12" s="22">
        <f>COUNTIFS('Functional Testing'!$M$2:$M$349,$A12,'Functional Testing'!$L$2:$L$349,"Blocked")</f>
        <v/>
      </c>
      <c r="F12" s="22">
        <f>COUNTIFS('Functional Testing'!$M$2:$M$349,$A12,'Functional Testing'!$L$2:$L$349,"Not Executed")</f>
        <v/>
      </c>
      <c r="G12" s="23">
        <f>IF(B12=0,0,(C12+D12+E12)/B12)</f>
        <v/>
      </c>
    </row>
    <row r="13">
      <c r="A13" s="22" t="inlineStr">
        <is>
          <t>Integration</t>
        </is>
      </c>
      <c r="B13" s="22">
        <f>COUNTIF('Functional Testing'!$M$2:$M$349,A13)</f>
        <v/>
      </c>
      <c r="C13" s="22">
        <f>COUNTIFS('Functional Testing'!$M$2:$M$349,$A13,'Functional Testing'!$L$2:$L$349,"Pass")</f>
        <v/>
      </c>
      <c r="D13" s="22">
        <f>COUNTIFS('Functional Testing'!$M$2:$M$349,$A13,'Functional Testing'!$L$2:$L$349,"Fail")</f>
        <v/>
      </c>
      <c r="E13" s="22">
        <f>COUNTIFS('Functional Testing'!$M$2:$M$349,$A13,'Functional Testing'!$L$2:$L$349,"Blocked")</f>
        <v/>
      </c>
      <c r="F13" s="22">
        <f>COUNTIFS('Functional Testing'!$M$2:$M$349,$A13,'Functional Testing'!$L$2:$L$349,"Not Executed")</f>
        <v/>
      </c>
      <c r="G13" s="23">
        <f>IF(B13=0,0,(C13+D13+E13)/B13)</f>
        <v/>
      </c>
    </row>
    <row r="14">
      <c r="A14" s="22" t="inlineStr">
        <is>
          <t>Navigation</t>
        </is>
      </c>
      <c r="B14" s="22">
        <f>COUNTIF('Functional Testing'!$M$2:$M$349,A14)</f>
        <v/>
      </c>
      <c r="C14" s="22">
        <f>COUNTIFS('Functional Testing'!$M$2:$M$349,$A14,'Functional Testing'!$L$2:$L$349,"Pass")</f>
        <v/>
      </c>
      <c r="D14" s="22">
        <f>COUNTIFS('Functional Testing'!$M$2:$M$349,$A14,'Functional Testing'!$L$2:$L$349,"Fail")</f>
        <v/>
      </c>
      <c r="E14" s="22">
        <f>COUNTIFS('Functional Testing'!$M$2:$M$349,$A14,'Functional Testing'!$L$2:$L$349,"Blocked")</f>
        <v/>
      </c>
      <c r="F14" s="22">
        <f>COUNTIFS('Functional Testing'!$M$2:$M$349,$A14,'Functional Testing'!$L$2:$L$349,"Not Executed")</f>
        <v/>
      </c>
      <c r="G14" s="23">
        <f>IF(B14=0,0,(C14+D14+E14)/B14)</f>
        <v/>
      </c>
    </row>
    <row r="15">
      <c r="A15" s="22" t="inlineStr">
        <is>
          <t>Negative</t>
        </is>
      </c>
      <c r="B15" s="22">
        <f>COUNTIF('Functional Testing'!$M$2:$M$349,A15)</f>
        <v/>
      </c>
      <c r="C15" s="22">
        <f>COUNTIFS('Functional Testing'!$M$2:$M$349,$A15,'Functional Testing'!$L$2:$L$349,"Pass")</f>
        <v/>
      </c>
      <c r="D15" s="22">
        <f>COUNTIFS('Functional Testing'!$M$2:$M$349,$A15,'Functional Testing'!$L$2:$L$349,"Fail")</f>
        <v/>
      </c>
      <c r="E15" s="22">
        <f>COUNTIFS('Functional Testing'!$M$2:$M$349,$A15,'Functional Testing'!$L$2:$L$349,"Blocked")</f>
        <v/>
      </c>
      <c r="F15" s="22">
        <f>COUNTIFS('Functional Testing'!$M$2:$M$349,$A15,'Functional Testing'!$L$2:$L$349,"Not Executed")</f>
        <v/>
      </c>
      <c r="G15" s="23">
        <f>IF(B15=0,0,(C15+D15+E15)/B15)</f>
        <v/>
      </c>
    </row>
    <row r="16">
      <c r="A16" s="22" t="inlineStr">
        <is>
          <t>Performance</t>
        </is>
      </c>
      <c r="B16" s="22">
        <f>COUNTIF('Functional Testing'!$M$2:$M$349,A16)</f>
        <v/>
      </c>
      <c r="C16" s="22">
        <f>COUNTIFS('Functional Testing'!$M$2:$M$349,$A16,'Functional Testing'!$L$2:$L$349,"Pass")</f>
        <v/>
      </c>
      <c r="D16" s="22">
        <f>COUNTIFS('Functional Testing'!$M$2:$M$349,$A16,'Functional Testing'!$L$2:$L$349,"Fail")</f>
        <v/>
      </c>
      <c r="E16" s="22">
        <f>COUNTIFS('Functional Testing'!$M$2:$M$349,$A16,'Functional Testing'!$L$2:$L$349,"Blocked")</f>
        <v/>
      </c>
      <c r="F16" s="22">
        <f>COUNTIFS('Functional Testing'!$M$2:$M$349,$A16,'Functional Testing'!$L$2:$L$349,"Not Executed")</f>
        <v/>
      </c>
      <c r="G16" s="23">
        <f>IF(B16=0,0,(C16+D16+E16)/B16)</f>
        <v/>
      </c>
    </row>
    <row r="17">
      <c r="A17" s="22" t="inlineStr">
        <is>
          <t>Responsive</t>
        </is>
      </c>
      <c r="B17" s="22">
        <f>COUNTIF('Functional Testing'!$M$2:$M$349,A17)</f>
        <v/>
      </c>
      <c r="C17" s="22">
        <f>COUNTIFS('Functional Testing'!$M$2:$M$349,$A17,'Functional Testing'!$L$2:$L$349,"Pass")</f>
        <v/>
      </c>
      <c r="D17" s="22">
        <f>COUNTIFS('Functional Testing'!$M$2:$M$349,$A17,'Functional Testing'!$L$2:$L$349,"Fail")</f>
        <v/>
      </c>
      <c r="E17" s="22">
        <f>COUNTIFS('Functional Testing'!$M$2:$M$349,$A17,'Functional Testing'!$L$2:$L$349,"Blocked")</f>
        <v/>
      </c>
      <c r="F17" s="22">
        <f>COUNTIFS('Functional Testing'!$M$2:$M$349,$A17,'Functional Testing'!$L$2:$L$349,"Not Executed")</f>
        <v/>
      </c>
      <c r="G17" s="23">
        <f>IF(B17=0,0,(C17+D17+E17)/B17)</f>
        <v/>
      </c>
    </row>
    <row r="18">
      <c r="A18" s="22" t="inlineStr">
        <is>
          <t>SEO</t>
        </is>
      </c>
      <c r="B18" s="22">
        <f>COUNTIF('Functional Testing'!$M$2:$M$349,A18)</f>
        <v/>
      </c>
      <c r="C18" s="22">
        <f>COUNTIFS('Functional Testing'!$M$2:$M$349,$A18,'Functional Testing'!$L$2:$L$349,"Pass")</f>
        <v/>
      </c>
      <c r="D18" s="22">
        <f>COUNTIFS('Functional Testing'!$M$2:$M$349,$A18,'Functional Testing'!$L$2:$L$349,"Fail")</f>
        <v/>
      </c>
      <c r="E18" s="22">
        <f>COUNTIFS('Functional Testing'!$M$2:$M$349,$A18,'Functional Testing'!$L$2:$L$349,"Blocked")</f>
        <v/>
      </c>
      <c r="F18" s="22">
        <f>COUNTIFS('Functional Testing'!$M$2:$M$349,$A18,'Functional Testing'!$L$2:$L$349,"Not Executed")</f>
        <v/>
      </c>
      <c r="G18" s="23">
        <f>IF(B18=0,0,(C18+D18+E18)/B18)</f>
        <v/>
      </c>
    </row>
    <row r="19">
      <c r="A19" s="22" t="inlineStr">
        <is>
          <t>Security</t>
        </is>
      </c>
      <c r="B19" s="22">
        <f>COUNTIF('Functional Testing'!$M$2:$M$349,A19)</f>
        <v/>
      </c>
      <c r="C19" s="22">
        <f>COUNTIFS('Functional Testing'!$M$2:$M$349,$A19,'Functional Testing'!$L$2:$L$349,"Pass")</f>
        <v/>
      </c>
      <c r="D19" s="22">
        <f>COUNTIFS('Functional Testing'!$M$2:$M$349,$A19,'Functional Testing'!$L$2:$L$349,"Fail")</f>
        <v/>
      </c>
      <c r="E19" s="22">
        <f>COUNTIFS('Functional Testing'!$M$2:$M$349,$A19,'Functional Testing'!$L$2:$L$349,"Blocked")</f>
        <v/>
      </c>
      <c r="F19" s="22">
        <f>COUNTIFS('Functional Testing'!$M$2:$M$349,$A19,'Functional Testing'!$L$2:$L$349,"Not Executed")</f>
        <v/>
      </c>
      <c r="G19" s="23">
        <f>IF(B19=0,0,(C19+D19+E19)/B19)</f>
        <v/>
      </c>
    </row>
    <row r="20">
      <c r="A20" s="22" t="inlineStr">
        <is>
          <t>State and Session</t>
        </is>
      </c>
      <c r="B20" s="22">
        <f>COUNTIF('Functional Testing'!$M$2:$M$349,A20)</f>
        <v/>
      </c>
      <c r="C20" s="22">
        <f>COUNTIFS('Functional Testing'!$M$2:$M$349,$A20,'Functional Testing'!$L$2:$L$349,"Pass")</f>
        <v/>
      </c>
      <c r="D20" s="22">
        <f>COUNTIFS('Functional Testing'!$M$2:$M$349,$A20,'Functional Testing'!$L$2:$L$349,"Fail")</f>
        <v/>
      </c>
      <c r="E20" s="22">
        <f>COUNTIFS('Functional Testing'!$M$2:$M$349,$A20,'Functional Testing'!$L$2:$L$349,"Blocked")</f>
        <v/>
      </c>
      <c r="F20" s="22">
        <f>COUNTIFS('Functional Testing'!$M$2:$M$349,$A20,'Functional Testing'!$L$2:$L$349,"Not Executed")</f>
        <v/>
      </c>
      <c r="G20" s="23">
        <f>IF(B20=0,0,(C20+D20+E20)/B20)</f>
        <v/>
      </c>
    </row>
    <row r="21">
      <c r="A21" s="22" t="inlineStr">
        <is>
          <t>UI and Visual</t>
        </is>
      </c>
      <c r="B21" s="22">
        <f>COUNTIF('Functional Testing'!$M$2:$M$349,A21)</f>
        <v/>
      </c>
      <c r="C21" s="22">
        <f>COUNTIFS('Functional Testing'!$M$2:$M$349,$A21,'Functional Testing'!$L$2:$L$349,"Pass")</f>
        <v/>
      </c>
      <c r="D21" s="22">
        <f>COUNTIFS('Functional Testing'!$M$2:$M$349,$A21,'Functional Testing'!$L$2:$L$349,"Fail")</f>
        <v/>
      </c>
      <c r="E21" s="22">
        <f>COUNTIFS('Functional Testing'!$M$2:$M$349,$A21,'Functional Testing'!$L$2:$L$349,"Blocked")</f>
        <v/>
      </c>
      <c r="F21" s="22">
        <f>COUNTIFS('Functional Testing'!$M$2:$M$349,$A21,'Functional Testing'!$L$2:$L$349,"Not Executed")</f>
        <v/>
      </c>
      <c r="G21" s="23">
        <f>IF(B21=0,0,(C21+D21+E21)/B21)</f>
        <v/>
      </c>
    </row>
    <row r="22">
      <c r="A22" s="22" t="inlineStr">
        <is>
          <t>Usability</t>
        </is>
      </c>
      <c r="B22" s="22">
        <f>COUNTIF('Functional Testing'!$M$2:$M$349,A22)</f>
        <v/>
      </c>
      <c r="C22" s="22">
        <f>COUNTIFS('Functional Testing'!$M$2:$M$349,$A22,'Functional Testing'!$L$2:$L$349,"Pass")</f>
        <v/>
      </c>
      <c r="D22" s="22">
        <f>COUNTIFS('Functional Testing'!$M$2:$M$349,$A22,'Functional Testing'!$L$2:$L$349,"Fail")</f>
        <v/>
      </c>
      <c r="E22" s="22">
        <f>COUNTIFS('Functional Testing'!$M$2:$M$349,$A22,'Functional Testing'!$L$2:$L$349,"Blocked")</f>
        <v/>
      </c>
      <c r="F22" s="22">
        <f>COUNTIFS('Functional Testing'!$M$2:$M$349,$A22,'Functional Testing'!$L$2:$L$349,"Not Executed")</f>
        <v/>
      </c>
      <c r="G22" s="23">
        <f>IF(B22=0,0,(C22+D22+E22)/B22)</f>
        <v/>
      </c>
    </row>
    <row r="23">
      <c r="A23" s="22" t="inlineStr">
        <is>
          <t>Validation</t>
        </is>
      </c>
      <c r="B23" s="22">
        <f>COUNTIF('Functional Testing'!$M$2:$M$349,A23)</f>
        <v/>
      </c>
      <c r="C23" s="22">
        <f>COUNTIFS('Functional Testing'!$M$2:$M$349,$A23,'Functional Testing'!$L$2:$L$349,"Pass")</f>
        <v/>
      </c>
      <c r="D23" s="22">
        <f>COUNTIFS('Functional Testing'!$M$2:$M$349,$A23,'Functional Testing'!$L$2:$L$349,"Fail")</f>
        <v/>
      </c>
      <c r="E23" s="22">
        <f>COUNTIFS('Functional Testing'!$M$2:$M$349,$A23,'Functional Testing'!$L$2:$L$349,"Blocked")</f>
        <v/>
      </c>
      <c r="F23" s="22">
        <f>COUNTIFS('Functional Testing'!$M$2:$M$349,$A23,'Functional Testing'!$L$2:$L$349,"Not Executed")</f>
        <v/>
      </c>
      <c r="G23" s="23">
        <f>IF(B23=0,0,(C23+D23+E23)/B23)</f>
        <v/>
      </c>
    </row>
    <row r="24">
      <c r="A24" s="24" t="inlineStr">
        <is>
          <t>Total</t>
        </is>
      </c>
      <c r="B24" s="24">
        <f>SUM(B2:B23)</f>
        <v/>
      </c>
      <c r="C24" s="24">
        <f>SUM(C2:C23)</f>
        <v/>
      </c>
      <c r="D24" s="24">
        <f>SUM(D2:D23)</f>
        <v/>
      </c>
      <c r="E24" s="24">
        <f>SUM(E2:E23)</f>
        <v/>
      </c>
      <c r="F24" s="24">
        <f>SUM(F2:F23)</f>
        <v/>
      </c>
      <c r="G24" s="25">
        <f>IF(B24=0,0,(C24+D24+E24)/B24)</f>
        <v/>
      </c>
    </row>
    <row r="25"/>
    <row r="26">
      <c r="A26" s="26" t="inlineStr">
        <is>
          <t>Priority summary</t>
        </is>
      </c>
    </row>
    <row r="27">
      <c r="A27" s="20" t="inlineStr">
        <is>
          <t>Priority</t>
        </is>
      </c>
      <c r="B27" s="20" t="inlineStr">
        <is>
          <t>Total</t>
        </is>
      </c>
      <c r="C27" s="20" t="inlineStr">
        <is>
          <t>Pass</t>
        </is>
      </c>
      <c r="D27" s="20" t="inlineStr">
        <is>
          <t>Fail</t>
        </is>
      </c>
      <c r="E27" s="20" t="inlineStr">
        <is>
          <t>Blocked</t>
        </is>
      </c>
      <c r="F27" s="20" t="inlineStr">
        <is>
          <t>Not Executed</t>
        </is>
      </c>
      <c r="G27" s="20" t="inlineStr">
        <is>
          <t>% Executed</t>
        </is>
      </c>
    </row>
    <row r="28">
      <c r="A28" s="22" t="inlineStr">
        <is>
          <t>High</t>
        </is>
      </c>
      <c r="B28" s="22">
        <f>COUNTIF('Functional Testing'!$K$2:$K$349,A28)</f>
        <v/>
      </c>
      <c r="C28" s="22">
        <f>COUNTIFS('Functional Testing'!$K$2:$K$349,$A28,'Functional Testing'!$L$2:$L$349,"Pass")</f>
        <v/>
      </c>
      <c r="D28" s="22">
        <f>COUNTIFS('Functional Testing'!$K$2:$K$349,$A28,'Functional Testing'!$L$2:$L$349,"Fail")</f>
        <v/>
      </c>
      <c r="E28" s="22">
        <f>COUNTIFS('Functional Testing'!$K$2:$K$349,$A28,'Functional Testing'!$L$2:$L$349,"Blocked")</f>
        <v/>
      </c>
      <c r="F28" s="22">
        <f>COUNTIFS('Functional Testing'!$K$2:$K$349,$A28,'Functional Testing'!$L$2:$L$349,"Not Executed")</f>
        <v/>
      </c>
      <c r="G28" s="23">
        <f>IF(B28=0,0,(C28+D28+E28)/B28)</f>
        <v/>
      </c>
    </row>
    <row r="29">
      <c r="A29" s="22" t="inlineStr">
        <is>
          <t>Medium</t>
        </is>
      </c>
      <c r="B29" s="22">
        <f>COUNTIF('Functional Testing'!$K$2:$K$349,A29)</f>
        <v/>
      </c>
      <c r="C29" s="22">
        <f>COUNTIFS('Functional Testing'!$K$2:$K$349,$A29,'Functional Testing'!$L$2:$L$349,"Pass")</f>
        <v/>
      </c>
      <c r="D29" s="22">
        <f>COUNTIFS('Functional Testing'!$K$2:$K$349,$A29,'Functional Testing'!$L$2:$L$349,"Fail")</f>
        <v/>
      </c>
      <c r="E29" s="22">
        <f>COUNTIFS('Functional Testing'!$K$2:$K$349,$A29,'Functional Testing'!$L$2:$L$349,"Blocked")</f>
        <v/>
      </c>
      <c r="F29" s="22">
        <f>COUNTIFS('Functional Testing'!$K$2:$K$349,$A29,'Functional Testing'!$L$2:$L$349,"Not Executed")</f>
        <v/>
      </c>
      <c r="G29" s="23">
        <f>IF(B29=0,0,(C29+D29+E29)/B29)</f>
        <v/>
      </c>
    </row>
    <row r="30">
      <c r="A30" s="22" t="inlineStr">
        <is>
          <t>Low</t>
        </is>
      </c>
      <c r="B30" s="22">
        <f>COUNTIF('Functional Testing'!$K$2:$K$349,A30)</f>
        <v/>
      </c>
      <c r="C30" s="22">
        <f>COUNTIFS('Functional Testing'!$K$2:$K$349,$A30,'Functional Testing'!$L$2:$L$349,"Pass")</f>
        <v/>
      </c>
      <c r="D30" s="22">
        <f>COUNTIFS('Functional Testing'!$K$2:$K$349,$A30,'Functional Testing'!$L$2:$L$349,"Fail")</f>
        <v/>
      </c>
      <c r="E30" s="22">
        <f>COUNTIFS('Functional Testing'!$K$2:$K$349,$A30,'Functional Testing'!$L$2:$L$349,"Blocked")</f>
        <v/>
      </c>
      <c r="F30" s="22">
        <f>COUNTIFS('Functional Testing'!$K$2:$K$349,$A30,'Functional Testing'!$L$2:$L$349,"Not Executed")</f>
        <v/>
      </c>
      <c r="G30" s="23">
        <f>IF(B30=0,0,(C30+D30+E30)/B30)</f>
        <v/>
      </c>
    </row>
    <row r="31"/>
    <row r="32"/>
    <row r="33">
      <c r="A33" s="26" t="inlineStr">
        <is>
          <t>Not covered in this round</t>
        </is>
      </c>
    </row>
    <row r="34">
      <c r="A34" s="20" t="inlineStr">
        <is>
          <t>Area</t>
        </is>
      </c>
      <c r="B34" s="20" t="inlineStr">
        <is>
          <t>Reason</t>
        </is>
      </c>
      <c r="C34" s="20" t="inlineStr">
        <is>
          <t>Suggested owner</t>
        </is>
      </c>
    </row>
    <row r="35">
      <c r="A35" s="22" t="n"/>
      <c r="B35" s="22" t="n"/>
      <c r="C35" s="22" t="inlineStr">
        <is>
          <t>Developer</t>
        </is>
      </c>
    </row>
    <row r="36" ht="30" customHeight="1">
      <c r="A36" s="22" t="n"/>
      <c r="B36" s="22" t="n"/>
      <c r="C36" s="22" t="inlineStr">
        <is>
          <t>Developer or security vendor</t>
        </is>
      </c>
    </row>
    <row r="37">
      <c r="A37" s="22" t="n"/>
      <c r="B37" s="22" t="n"/>
      <c r="C37" s="22" t="inlineStr">
        <is>
          <t>Retest when live</t>
        </is>
      </c>
    </row>
    <row r="38">
      <c r="A38" s="22" t="n"/>
      <c r="B38" s="22" t="n"/>
      <c r="C38" s="22" t="inlineStr">
        <is>
          <t>Retest when live</t>
        </is>
      </c>
    </row>
    <row r="39">
      <c r="A39" s="22" t="n"/>
      <c r="B39" s="22" t="n"/>
      <c r="C39" s="22" t="inlineStr">
        <is>
          <t>Developer</t>
        </is>
      </c>
    </row>
    <row r="40">
      <c r="A40" s="22" t="n"/>
      <c r="B40" s="22" t="n"/>
      <c r="C40" s="22" t="inlineStr">
        <is>
          <t>Developer</t>
        </is>
      </c>
    </row>
    <row r="41">
      <c r="A41" s="22" t="n"/>
      <c r="B41" s="22" t="n"/>
      <c r="C41" s="22" t="inlineStr">
        <is>
          <t>Optional</t>
        </is>
      </c>
    </row>
    <row r="42">
      <c r="A42" s="22" t="n"/>
      <c r="B42" s="22" t="n"/>
      <c r="C42" s="22" t="inlineStr">
        <is>
          <t>Optional</t>
        </is>
      </c>
    </row>
    <row r="43">
      <c r="A43" s="22" t="n"/>
      <c r="B43" s="22" t="n"/>
      <c r="C43" s="22" t="inlineStr">
        <is>
          <t>Client or CA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:XFD1"/>
    </sheetView>
  </sheetViews>
  <sheetFormatPr baseColWidth="8" defaultRowHeight="15"/>
  <sheetData>
    <row r="1" ht="30" customHeight="1">
      <c r="A1" s="20" t="inlineStr">
        <is>
          <t>Client Check</t>
        </is>
      </c>
      <c r="B1" s="20" t="inlineStr">
        <is>
          <t>Check</t>
        </is>
      </c>
      <c r="C1" s="20" t="inlineStr">
        <is>
          <t>Test Case Id</t>
        </is>
      </c>
      <c r="D1" s="20" t="inlineStr">
        <is>
          <t>Priority</t>
        </is>
      </c>
      <c r="E1" s="20" t="inlineStr">
        <is>
          <t>Status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C2" sqref="C2:C5"/>
    </sheetView>
  </sheetViews>
  <sheetFormatPr baseColWidth="8" defaultRowHeight="15"/>
  <cols>
    <col width="15.7109375" bestFit="1" customWidth="1" style="11" min="1" max="1"/>
    <col width="34.42578125" customWidth="1" style="11" min="2" max="2"/>
    <col width="13.140625" bestFit="1" customWidth="1" style="11" min="3" max="3"/>
    <col width="65.140625" bestFit="1" customWidth="1" style="11" min="4" max="4"/>
    <col width="13.5703125" bestFit="1" customWidth="1" style="11" min="5" max="5"/>
    <col width="8.140625" bestFit="1" customWidth="1" style="7" min="6" max="6"/>
    <col width="16.28515625" bestFit="1" customWidth="1" style="7" min="7" max="7"/>
    <col width="9.140625" customWidth="1" style="7" min="8" max="8"/>
    <col width="16.85546875" bestFit="1" customWidth="1" style="7" min="9" max="9"/>
    <col width="14" bestFit="1" customWidth="1" style="7" min="10" max="10"/>
    <col width="14" customWidth="1" style="7" min="11" max="11"/>
    <col width="6.7109375" bestFit="1" customWidth="1" style="7" min="12" max="12"/>
    <col width="18" customWidth="1" style="7" min="13" max="16384"/>
  </cols>
  <sheetData>
    <row r="1" ht="30" customHeight="1">
      <c r="A1" s="5" t="inlineStr">
        <is>
          <t>Test Case Id</t>
        </is>
      </c>
      <c r="B1" s="5" t="inlineStr">
        <is>
          <t>Requirement #</t>
        </is>
      </c>
      <c r="C1" s="5" t="inlineStr">
        <is>
          <t>Test Scenario</t>
        </is>
      </c>
      <c r="D1" s="5" t="inlineStr">
        <is>
          <t>Test Cases</t>
        </is>
      </c>
      <c r="E1" s="5" t="inlineStr">
        <is>
          <t>Pre-condition</t>
        </is>
      </c>
      <c r="F1" s="6" t="inlineStr">
        <is>
          <t>Test Steps</t>
        </is>
      </c>
      <c r="G1" s="6" t="inlineStr">
        <is>
          <t>Step Description</t>
        </is>
      </c>
      <c r="H1" s="6" t="inlineStr">
        <is>
          <t>Test data</t>
        </is>
      </c>
      <c r="I1" s="6" t="inlineStr">
        <is>
          <t>Expected Results</t>
        </is>
      </c>
      <c r="J1" s="6" t="inlineStr">
        <is>
          <t>Actual Results</t>
        </is>
      </c>
      <c r="K1" s="6" t="inlineStr">
        <is>
          <t>Priority</t>
        </is>
      </c>
      <c r="L1" s="6" t="inlineStr">
        <is>
          <t>Status</t>
        </is>
      </c>
      <c r="M1" s="6" t="inlineStr">
        <is>
          <t>Test Type</t>
        </is>
      </c>
    </row>
    <row r="2" ht="30" customHeight="1">
      <c r="A2" s="19" t="inlineStr">
        <is>
          <t>TC_FB_Login_001</t>
        </is>
      </c>
      <c r="B2" s="19" t="inlineStr">
        <is>
          <t>BR 1.1 (Business Requirement - Requirement document point referred to)</t>
        </is>
      </c>
      <c r="C2" s="19" t="inlineStr">
        <is>
          <t>FB Login Page</t>
        </is>
      </c>
      <c r="D2" s="19" t="inlineStr">
        <is>
          <t>Verify Login Functionality of FB login page with valid user and password</t>
        </is>
      </c>
      <c r="E2" s="19" t="n"/>
      <c r="F2" s="8" t="inlineStr">
        <is>
          <t>Step 01</t>
        </is>
      </c>
      <c r="G2" s="8" t="n"/>
      <c r="H2" s="8" t="inlineStr">
        <is>
          <t>URL or test data</t>
        </is>
      </c>
      <c r="I2" s="8" t="n"/>
      <c r="J2" s="8" t="n"/>
      <c r="K2" s="8" t="n"/>
      <c r="L2" s="8" t="n"/>
    </row>
    <row r="3">
      <c r="A3" s="35" t="n"/>
      <c r="B3" s="35" t="n"/>
      <c r="C3" s="35" t="n"/>
      <c r="D3" s="35" t="n"/>
      <c r="E3" s="35" t="n"/>
      <c r="F3" s="8" t="inlineStr">
        <is>
          <t>Step 02</t>
        </is>
      </c>
      <c r="G3" s="8" t="n"/>
      <c r="H3" s="8" t="n"/>
      <c r="I3" s="8" t="n"/>
      <c r="J3" s="8" t="n"/>
      <c r="K3" s="8" t="n"/>
      <c r="L3" s="8" t="n"/>
    </row>
    <row r="4">
      <c r="A4" s="35" t="n"/>
      <c r="B4" s="35" t="n"/>
      <c r="C4" s="35" t="n"/>
      <c r="D4" s="35" t="n"/>
      <c r="E4" s="35" t="n"/>
      <c r="F4" s="8" t="inlineStr">
        <is>
          <t>Step 03</t>
        </is>
      </c>
      <c r="G4" s="8" t="n"/>
      <c r="H4" s="8" t="n"/>
      <c r="I4" s="8" t="n"/>
      <c r="J4" s="8" t="n"/>
      <c r="K4" s="8" t="n"/>
      <c r="L4" s="8" t="n"/>
    </row>
    <row r="5">
      <c r="A5" s="32" t="n"/>
      <c r="B5" s="32" t="n"/>
      <c r="C5" s="32" t="n"/>
      <c r="D5" s="32" t="n"/>
      <c r="E5" s="32" t="n"/>
      <c r="F5" s="8" t="inlineStr">
        <is>
          <t>Step 04</t>
        </is>
      </c>
      <c r="G5" s="8" t="n"/>
      <c r="H5" s="8" t="n"/>
      <c r="I5" s="8" t="n"/>
      <c r="J5" s="8" t="n"/>
      <c r="K5" s="8" t="n"/>
      <c r="L5" s="8" t="n"/>
    </row>
    <row r="6">
      <c r="A6" s="9" t="n"/>
      <c r="B6" s="9" t="n"/>
      <c r="C6" s="9" t="n"/>
      <c r="D6" s="9" t="n"/>
      <c r="E6" s="9" t="n"/>
      <c r="F6" s="10" t="n"/>
      <c r="G6" s="10" t="n"/>
      <c r="H6" s="10" t="n"/>
      <c r="I6" s="10" t="n"/>
      <c r="J6" s="10" t="n"/>
      <c r="K6" s="10" t="n"/>
      <c r="L6" s="10" t="n"/>
    </row>
    <row r="7">
      <c r="A7" s="19" t="n"/>
      <c r="B7" s="19" t="n"/>
      <c r="C7" s="19" t="n"/>
      <c r="D7" s="19" t="n"/>
      <c r="E7" s="19" t="n"/>
      <c r="F7" s="8" t="inlineStr">
        <is>
          <t>Step 01</t>
        </is>
      </c>
      <c r="G7" s="8" t="n"/>
      <c r="H7" s="8" t="n"/>
      <c r="I7" s="8" t="n"/>
      <c r="J7" s="8" t="n"/>
      <c r="K7" s="8" t="n"/>
      <c r="L7" s="8" t="n"/>
    </row>
    <row r="8">
      <c r="A8" s="35" t="n"/>
      <c r="B8" s="35" t="n"/>
      <c r="C8" s="35" t="n"/>
      <c r="D8" s="35" t="n"/>
      <c r="E8" s="35" t="n"/>
      <c r="F8" s="8" t="inlineStr">
        <is>
          <t>Step 02</t>
        </is>
      </c>
      <c r="G8" s="8" t="n"/>
      <c r="H8" s="8" t="n"/>
      <c r="I8" s="8" t="n"/>
      <c r="J8" s="8" t="n"/>
      <c r="K8" s="8" t="n"/>
      <c r="L8" s="8" t="n"/>
    </row>
    <row r="9">
      <c r="A9" s="35" t="n"/>
      <c r="B9" s="35" t="n"/>
      <c r="C9" s="35" t="n"/>
      <c r="D9" s="35" t="n"/>
      <c r="E9" s="35" t="n"/>
      <c r="F9" s="8" t="inlineStr">
        <is>
          <t>Step 03</t>
        </is>
      </c>
      <c r="G9" s="8" t="n"/>
      <c r="H9" s="8" t="n"/>
      <c r="I9" s="8" t="n"/>
      <c r="J9" s="8" t="n"/>
      <c r="K9" s="8" t="n"/>
      <c r="L9" s="8" t="n"/>
    </row>
    <row r="10">
      <c r="A10" s="32" t="n"/>
      <c r="B10" s="32" t="n"/>
      <c r="C10" s="32" t="n"/>
      <c r="D10" s="32" t="n"/>
      <c r="E10" s="32" t="n"/>
      <c r="F10" s="8" t="inlineStr">
        <is>
          <t>Step 04</t>
        </is>
      </c>
      <c r="G10" s="8" t="n"/>
      <c r="H10" s="8" t="n"/>
      <c r="I10" s="8" t="n"/>
      <c r="J10" s="8" t="n"/>
      <c r="K10" s="8" t="n"/>
      <c r="L10" s="8" t="n"/>
    </row>
    <row r="11">
      <c r="A11" s="9" t="n"/>
      <c r="B11" s="9" t="n"/>
      <c r="C11" s="9" t="n"/>
      <c r="D11" s="9" t="n"/>
      <c r="E11" s="9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9" t="n"/>
      <c r="B12" s="19" t="n"/>
      <c r="C12" s="19" t="n"/>
      <c r="D12" s="19" t="n"/>
      <c r="E12" s="19" t="n"/>
      <c r="F12" s="8" t="inlineStr">
        <is>
          <t>Step 01</t>
        </is>
      </c>
      <c r="G12" s="8" t="n"/>
      <c r="H12" s="8" t="n"/>
      <c r="I12" s="8" t="n"/>
      <c r="J12" s="8" t="n"/>
      <c r="K12" s="8" t="n"/>
      <c r="L12" s="8" t="n"/>
    </row>
    <row r="13">
      <c r="A13" s="35" t="n"/>
      <c r="B13" s="35" t="n"/>
      <c r="C13" s="35" t="n"/>
      <c r="D13" s="35" t="n"/>
      <c r="E13" s="35" t="n"/>
      <c r="F13" s="8" t="inlineStr">
        <is>
          <t>Step 02</t>
        </is>
      </c>
      <c r="G13" s="8" t="n"/>
      <c r="H13" s="8" t="n"/>
      <c r="I13" s="8" t="n"/>
      <c r="J13" s="8" t="n"/>
      <c r="K13" s="8" t="n"/>
      <c r="L13" s="8" t="n"/>
    </row>
    <row r="14">
      <c r="A14" s="35" t="n"/>
      <c r="B14" s="35" t="n"/>
      <c r="C14" s="35" t="n"/>
      <c r="D14" s="35" t="n"/>
      <c r="E14" s="35" t="n"/>
      <c r="F14" s="8" t="inlineStr">
        <is>
          <t>Step 03</t>
        </is>
      </c>
      <c r="G14" s="8" t="n"/>
      <c r="H14" s="8" t="n"/>
      <c r="I14" s="8" t="n"/>
      <c r="J14" s="8" t="n"/>
      <c r="K14" s="8" t="n"/>
      <c r="L14" s="8" t="n"/>
    </row>
    <row r="15">
      <c r="A15" s="32" t="n"/>
      <c r="B15" s="32" t="n"/>
      <c r="C15" s="32" t="n"/>
      <c r="D15" s="32" t="n"/>
      <c r="E15" s="32" t="n"/>
      <c r="F15" s="8" t="inlineStr">
        <is>
          <t>Step 04</t>
        </is>
      </c>
      <c r="G15" s="8" t="n"/>
      <c r="H15" s="8" t="n"/>
      <c r="I15" s="8" t="n"/>
      <c r="J15" s="8" t="n"/>
      <c r="K15" s="8" t="n"/>
      <c r="L15" s="8" t="n"/>
    </row>
  </sheetData>
  <mergeCells count="15">
    <mergeCell ref="A7:A10"/>
    <mergeCell ref="A2:A5"/>
    <mergeCell ref="D12:D15"/>
    <mergeCell ref="B12:B15"/>
    <mergeCell ref="A12:A15"/>
    <mergeCell ref="E12:E15"/>
    <mergeCell ref="C2:C5"/>
    <mergeCell ref="C12:C15"/>
    <mergeCell ref="E2:E5"/>
    <mergeCell ref="C7:C10"/>
    <mergeCell ref="B7:B10"/>
    <mergeCell ref="D7:D10"/>
    <mergeCell ref="E7:E10"/>
    <mergeCell ref="B2:B5"/>
    <mergeCell ref="D2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K9" sqref="K9"/>
    </sheetView>
  </sheetViews>
  <sheetFormatPr baseColWidth="8" defaultRowHeight="15"/>
  <cols>
    <col width="24.7109375" customWidth="1" min="15" max="15"/>
  </cols>
  <sheetData>
    <row r="1" ht="60" customHeight="1">
      <c r="A1" s="21" t="inlineStr">
        <is>
          <t>Defect Id</t>
        </is>
      </c>
      <c r="B1" s="21" t="inlineStr">
        <is>
          <t>Date</t>
        </is>
      </c>
      <c r="C1" s="21" t="inlineStr">
        <is>
          <t>Linked Test Case Id</t>
        </is>
      </c>
      <c r="D1" s="21" t="inlineStr">
        <is>
          <t>Summary</t>
        </is>
      </c>
      <c r="E1" s="21" t="inlineStr">
        <is>
          <t>Device</t>
        </is>
      </c>
      <c r="F1" s="21" t="inlineStr">
        <is>
          <t>Browser and Version</t>
        </is>
      </c>
      <c r="G1" s="21" t="inlineStr">
        <is>
          <t>Page URL</t>
        </is>
      </c>
      <c r="H1" s="21" t="inlineStr">
        <is>
          <t>Steps to Reproduce</t>
        </is>
      </c>
      <c r="I1" s="21" t="inlineStr">
        <is>
          <t>Actual Result</t>
        </is>
      </c>
      <c r="J1" s="21" t="inlineStr">
        <is>
          <t>Expected Result</t>
        </is>
      </c>
      <c r="K1" s="21" t="inlineStr">
        <is>
          <t>Severity</t>
        </is>
      </c>
      <c r="L1" s="21" t="inlineStr">
        <is>
          <t>Priority</t>
        </is>
      </c>
      <c r="M1" s="21" t="inlineStr">
        <is>
          <t>Status</t>
        </is>
      </c>
      <c r="N1" s="21" t="inlineStr">
        <is>
          <t>Screenshot or Video Link</t>
        </is>
      </c>
      <c r="O1" s="21" t="inlineStr">
        <is>
          <t>Reported By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K6" sqref="K6"/>
    </sheetView>
  </sheetViews>
  <sheetFormatPr baseColWidth="8" defaultRowHeight="15"/>
  <sheetData>
    <row r="1" ht="45" customHeight="1">
      <c r="A1" s="20" t="inlineStr">
        <is>
          <t>Regression Id</t>
        </is>
      </c>
      <c r="B1" s="20" t="inlineStr">
        <is>
          <t>Linked Test Case Id</t>
        </is>
      </c>
      <c r="C1" s="20" t="inlineStr">
        <is>
          <t>Scenario</t>
        </is>
      </c>
      <c r="D1" s="20" t="inlineStr">
        <is>
          <t>Test Case</t>
        </is>
      </c>
      <c r="E1" s="20" t="inlineStr">
        <is>
          <t>Client Check</t>
        </is>
      </c>
      <c r="F1" s="20" t="inlineStr">
        <is>
          <t>Run 1 Status</t>
        </is>
      </c>
      <c r="G1" s="20" t="inlineStr">
        <is>
          <t>Run 2 Status</t>
        </is>
      </c>
      <c r="H1" s="20" t="inlineStr">
        <is>
          <t>Remarks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Kuldeep Tiru</dc:creator>
  <dcterms:created xmlns:dcterms="http://purl.org/dc/terms/" xmlns:xsi="http://www.w3.org/2001/XMLSchema-instance" xsi:type="dcterms:W3CDTF">2026-09-25T19:21:00Z</dcterms:created>
  <dcterms:modified xmlns:dcterms="http://purl.org/dc/terms/" xmlns:xsi="http://www.w3.org/2001/XMLSchema-instance" xsi:type="dcterms:W3CDTF">2026-10-18T15:13:00Z</dcterms:modified>
  <cp:lastModifiedBy>Kuldeep Tiru</cp:lastModifiedBy>
</cp:coreProperties>
</file>