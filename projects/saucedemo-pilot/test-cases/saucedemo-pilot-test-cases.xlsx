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0"/>
  </bookViews>
  <sheets>
    <sheet sheetId="1" name="Summary" state="visible" r:id="rId4"/>
    <sheet sheetId="2" name="Early Observations" state="visible" r:id="rId5"/>
    <sheet sheetId="3" name="Execution Plan" state="visible" r:id="rId6"/>
    <sheet sheetId="4" name="Coverage" state="visible" r:id="rId7"/>
    <sheet sheetId="5" name="Client Mapping" state="visible" r:id="rId8"/>
    <sheet sheetId="6" name="Functional Testing" state="visible" r:id="rId9"/>
    <sheet sheetId="7" name="Defects" state="visible" r:id="rId10"/>
    <sheet sheetId="8" name="Regression Testing" state="visible" r:id="rId11"/>
  </sheets>
  <calcPr calcId="171027" fullCalcOnLoad="1"/>
</workbook>
</file>

<file path=xl/sharedStrings.xml><?xml version="1.0" encoding="utf-8"?>
<sst xmlns="http://schemas.openxmlformats.org/spreadsheetml/2006/main" count="338" uniqueCount="193">
  <si>
    <t>Project Name/ Number</t>
  </si>
  <si>
    <t>Test Case Authorizing Date</t>
  </si>
  <si>
    <t>Application</t>
  </si>
  <si>
    <t>Authorizing Effort</t>
  </si>
  <si>
    <t>Execution Effort</t>
  </si>
  <si>
    <t>Plan Author</t>
  </si>
  <si>
    <t>Test Execution Date</t>
  </si>
  <si>
    <t>Version</t>
  </si>
  <si>
    <t>Environment</t>
  </si>
  <si>
    <t>Actual Time</t>
  </si>
  <si>
    <t>Test Executed By</t>
  </si>
  <si>
    <t>Test Status</t>
  </si>
  <si>
    <t>Scope</t>
  </si>
  <si>
    <t>Test Purpose or Objective</t>
  </si>
  <si>
    <t>Set Up Requirements or Considerations</t>
  </si>
  <si>
    <t>Notes or Special Instructions</t>
  </si>
  <si>
    <t>Database Changes</t>
  </si>
  <si>
    <t>Hardware or Network</t>
  </si>
  <si>
    <t>Items not included in test</t>
  </si>
  <si>
    <t>Assumptions</t>
  </si>
  <si>
    <t>Work Sheets in Test plan</t>
  </si>
  <si>
    <t>Defect List</t>
  </si>
  <si>
    <t>#</t>
  </si>
  <si>
    <t>Page</t>
  </si>
  <si>
    <t>Observation</t>
  </si>
  <si>
    <t>Why it matters</t>
  </si>
  <si>
    <t>Linked Test Case</t>
  </si>
  <si>
    <t>Status</t>
  </si>
  <si>
    <t>Phase</t>
  </si>
  <si>
    <t>When</t>
  </si>
  <si>
    <t>Test Case Ids</t>
  </si>
  <si>
    <t>Dependency and notes</t>
  </si>
  <si>
    <t>Est. hours</t>
  </si>
  <si>
    <t>Test Type</t>
  </si>
  <si>
    <t>Total</t>
  </si>
  <si>
    <t>Pass</t>
  </si>
  <si>
    <t>Fail</t>
  </si>
  <si>
    <t>Blocked</t>
  </si>
  <si>
    <t>Not Executed</t>
  </si>
  <si>
    <t>% Executed</t>
  </si>
  <si>
    <t>Accessibility</t>
  </si>
  <si>
    <t>Admin</t>
  </si>
  <si>
    <t>Boundary</t>
  </si>
  <si>
    <t>Compatibility</t>
  </si>
  <si>
    <t>Content</t>
  </si>
  <si>
    <t>Data Integrity</t>
  </si>
  <si>
    <t>Email</t>
  </si>
  <si>
    <t>End-to-End</t>
  </si>
  <si>
    <t>Error Handling</t>
  </si>
  <si>
    <t>Exploratory</t>
  </si>
  <si>
    <t>Functional</t>
  </si>
  <si>
    <t>Integration</t>
  </si>
  <si>
    <t>Navigation</t>
  </si>
  <si>
    <t>Negative</t>
  </si>
  <si>
    <t>Performance</t>
  </si>
  <si>
    <t>Responsive</t>
  </si>
  <si>
    <t>SEO</t>
  </si>
  <si>
    <t>Security</t>
  </si>
  <si>
    <t>State and Session</t>
  </si>
  <si>
    <t>UI and Visual</t>
  </si>
  <si>
    <t>Usability</t>
  </si>
  <si>
    <t>Validation</t>
  </si>
  <si>
    <t>Priority summary</t>
  </si>
  <si>
    <t>Priority</t>
  </si>
  <si>
    <t>High</t>
  </si>
  <si>
    <t>Medium</t>
  </si>
  <si>
    <t>Low</t>
  </si>
  <si>
    <t>Not covered in this round</t>
  </si>
  <si>
    <t>Area</t>
  </si>
  <si>
    <t>Reason</t>
  </si>
  <si>
    <t>Suggested owner</t>
  </si>
  <si>
    <t>Developer</t>
  </si>
  <si>
    <t>Developer or security vendor</t>
  </si>
  <si>
    <t>Retest when live</t>
  </si>
  <si>
    <t>Optional</t>
  </si>
  <si>
    <t>Client or CA</t>
  </si>
  <si>
    <t>Client Check</t>
  </si>
  <si>
    <t>Check</t>
  </si>
  <si>
    <t>Test Case Id</t>
  </si>
  <si>
    <t>Requirement #</t>
  </si>
  <si>
    <t>Test Scenario</t>
  </si>
  <si>
    <t>Test Cases</t>
  </si>
  <si>
    <t>Pre-condition</t>
  </si>
  <si>
    <t>Test Steps</t>
  </si>
  <si>
    <t>Step Description</t>
  </si>
  <si>
    <t>Test data</t>
  </si>
  <si>
    <t>Expected Results</t>
  </si>
  <si>
    <t>Actual Results</t>
  </si>
  <si>
    <t>TC_Auth_ValidLogin_001</t>
  </si>
  <si>
    <t>BR 1.1</t>
  </si>
  <si>
    <t>Login</t>
  </si>
  <si>
    <t>Verify login with a valid username and password</t>
  </si>
  <si>
    <t>User is on the SauceDemo login page</t>
  </si>
  <si>
    <t>Step 01</t>
  </si>
  <si>
    <t>User enters standard_user and secret_sauce</t>
  </si>
  <si>
    <t>Step 02</t>
  </si>
  <si>
    <t>User clicks Login</t>
  </si>
  <si>
    <t xml:space="preserve">AC-AUTH-01: User is redirected to the products page
AC-AUTH-02: The products page shows the inventory list</t>
  </si>
  <si>
    <t>Step 03</t>
  </si>
  <si>
    <t>Step 04</t>
  </si>
  <si>
    <t>TC_Auth_InvalidPassword_001</t>
  </si>
  <si>
    <t>Verify login with a valid username and a wrong password</t>
  </si>
  <si>
    <t>User enters standard_user and an incorrect password</t>
  </si>
  <si>
    <t xml:space="preserve">AC-AUTH-03: An error message states that username and password do not match any user
AC-AUTH-04: The user stays on the login page</t>
  </si>
  <si>
    <t>TC_Auth_LockedOutUser_001</t>
  </si>
  <si>
    <t>Verify login with a locked out user</t>
  </si>
  <si>
    <t>User enters locked_out_user and secret_sauce</t>
  </si>
  <si>
    <t>AC-AUTH-05: An error message states that the user has been locked out</t>
  </si>
  <si>
    <t>TC_Auth_EmptyCredentials_001</t>
  </si>
  <si>
    <t>Verify login with empty username and password</t>
  </si>
  <si>
    <t>User leaves both fields empty</t>
  </si>
  <si>
    <t>AC-AUTH-06: An error message states that the username is required</t>
  </si>
  <si>
    <t>TC_Auth_EmptyPassword_001</t>
  </si>
  <si>
    <t>Verify login with a username and an empty password</t>
  </si>
  <si>
    <t>User enters standard_user and leaves the password empty</t>
  </si>
  <si>
    <t>AC-AUTH-07: An error message states that the password is required</t>
  </si>
  <si>
    <t>TC_Auth_LogoutFromMenu_001</t>
  </si>
  <si>
    <t>BR 1.2</t>
  </si>
  <si>
    <t>Logout</t>
  </si>
  <si>
    <t>Verify logout using the side menu</t>
  </si>
  <si>
    <t xml:space="preserve">1. User is logged in as standard_user
2. User is on the products page</t>
  </si>
  <si>
    <t>User opens the menu</t>
  </si>
  <si>
    <t>User clicks Logout</t>
  </si>
  <si>
    <t xml:space="preserve">AC-AUTH-08: User is returned to the login page
AC-AUTH-09: Opening the products page URL directly shows an access error instead of the inventory</t>
  </si>
  <si>
    <t>TC_Inventory_ProductsDisplayed_001</t>
  </si>
  <si>
    <t>BR 2.1</t>
  </si>
  <si>
    <t>Product listing</t>
  </si>
  <si>
    <t>Verify products page lists all products</t>
  </si>
  <si>
    <t>User views the products page</t>
  </si>
  <si>
    <t xml:space="preserve">AC-INV-01: Six products are listed
AC-INV-02: Each product shows an image, name, description, price and an Add to cart button</t>
  </si>
  <si>
    <t>TC_Inventory_SortByName_001</t>
  </si>
  <si>
    <t>BR 2.2</t>
  </si>
  <si>
    <t>Product sorting</t>
  </si>
  <si>
    <t>Verify sort products by name</t>
  </si>
  <si>
    <t>User selects Name (A to Z)</t>
  </si>
  <si>
    <t>User selects Name (Z to A)</t>
  </si>
  <si>
    <t xml:space="preserve">AC-INV-03: Products are ordered alphabetically for A to Z
AC-INV-04: Products are in reverse alphabetical order for Z to A</t>
  </si>
  <si>
    <t>TC_Inventory_SortByPrice_001</t>
  </si>
  <si>
    <t>Verify sort products by price</t>
  </si>
  <si>
    <t>User selects Price (low to high)</t>
  </si>
  <si>
    <t>User selects Price (high to low)</t>
  </si>
  <si>
    <t xml:space="preserve">AC-INV-05: Products are ordered from the lowest to the highest price
AC-INV-06: Products are ordered from the highest to the lowest price</t>
  </si>
  <si>
    <t>TC_Cart_AddToCart_001</t>
  </si>
  <si>
    <t>BR 3.1</t>
  </si>
  <si>
    <t>Cart items</t>
  </si>
  <si>
    <t>Verify add a product to the cart</t>
  </si>
  <si>
    <t>User clicks Add to cart on a product</t>
  </si>
  <si>
    <t xml:space="preserve">AC-CART-01: The cart badge shows the number of items added
AC-CART-02: The button on that product changes to Remove</t>
  </si>
  <si>
    <t>TC_Cart_RemoveFromCart_001</t>
  </si>
  <si>
    <t>Verify remove a product from the cart</t>
  </si>
  <si>
    <t xml:space="preserve">1. User is logged in as standard_user
2. At least one product is in the cart</t>
  </si>
  <si>
    <t>User opens the cart</t>
  </si>
  <si>
    <t>User clicks Remove on a product</t>
  </si>
  <si>
    <t xml:space="preserve">AC-CART-03: The product disappears from the cart list
AC-CART-04: The cart badge count decreases</t>
  </si>
  <si>
    <t>TC_Cart_CartPersistsOnNavigation_001</t>
  </si>
  <si>
    <t>Verify cart contents stay when navigating between pages</t>
  </si>
  <si>
    <t>User opens a product detail page and returns to the products page</t>
  </si>
  <si>
    <t>AC-CART-05: The cart badge count is unchanged after navigating</t>
  </si>
  <si>
    <t>TC_Checkout_CheckoutRequiredFields_001</t>
  </si>
  <si>
    <t>BR 4.1</t>
  </si>
  <si>
    <t>Checkout information</t>
  </si>
  <si>
    <t>Verify checkout requires first name, last name and postal code</t>
  </si>
  <si>
    <t>User starts checkout</t>
  </si>
  <si>
    <t>User leaves a required field empty</t>
  </si>
  <si>
    <t>User clicks Continue</t>
  </si>
  <si>
    <t xml:space="preserve">AC-CHK-01: An error message names the missing first name
AC-CHK-02: An error message names the missing last name
AC-CHK-03: An error message names the missing postal code</t>
  </si>
  <si>
    <t>TC_Checkout_CompleteOrder_001</t>
  </si>
  <si>
    <t>BR 4.2</t>
  </si>
  <si>
    <t>Complete a purchase</t>
  </si>
  <si>
    <t>Verify complete an order end to end</t>
  </si>
  <si>
    <t>User enters valid first name, last name and postal code</t>
  </si>
  <si>
    <t>User reviews the order summary</t>
  </si>
  <si>
    <t>User clicks Finish</t>
  </si>
  <si>
    <t xml:space="preserve">AC-CHK-04: The order summary lists the selected products with item total, tax and total
AC-CHK-05: A confirmation message thanks the user for the order
AC-CHK-06: The cart is empty after the order is completed</t>
  </si>
  <si>
    <t>Defect Id</t>
  </si>
  <si>
    <t>Date</t>
  </si>
  <si>
    <t>Linked Test Case Id</t>
  </si>
  <si>
    <t>Summary</t>
  </si>
  <si>
    <t>Device</t>
  </si>
  <si>
    <t>Browser and Version</t>
  </si>
  <si>
    <t>Page URL</t>
  </si>
  <si>
    <t>Steps to Reproduce</t>
  </si>
  <si>
    <t>Actual Result</t>
  </si>
  <si>
    <t>Expected Result</t>
  </si>
  <si>
    <t>Severity</t>
  </si>
  <si>
    <t>Screenshot or Video Link</t>
  </si>
  <si>
    <t>Reported By</t>
  </si>
  <si>
    <t>Regression Id</t>
  </si>
  <si>
    <t>Scenario</t>
  </si>
  <si>
    <t>Test Case</t>
  </si>
  <si>
    <t>Run 1 Status</t>
  </si>
  <si>
    <t>Run 2 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</si>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</sst>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harset val="1"/>
      <color theme="1"/>
      <family val="2"/>
      <sz val="11"/>
      <name val="Aptos Narrow"/>
    </font>
    <font>
      <b/>
      <color rgb="FFFFFFFF"/>
      <family val="2"/>
      <sz val="10"/>
      <name val="Aptos Narrow"/>
    </font>
    <font>
      <charset val="1"/>
      <sz val="11"/>
      <name val="Aptos Narrow"/>
    </font>
    <font>
      <b/>
      <charset val="1"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/>
    </fill>
    <fill>
      <patternFill patternType="solid">
        <fgColor theme="4" tint="0.5998718222602009"/>
        <bgColor rgb="FFC0C0C0"/>
      </patternFill>
    </fill>
    <fill>
      <patternFill patternType="solid">
        <fgColor theme="0"/>
        <bgColor rgb="FF1A472A"/>
      </patternFill>
    </fill>
    <fill>
      <patternFill patternType="solid">
        <fgColor theme="4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9" fontId="5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9" fontId="6" fillId="3" borderId="1" xfId="0" applyNumberFormat="1" applyFont="1" applyFill="1" applyBorder="1" applyAlignment="1">
      <alignment vertical="top" wrapText="1"/>
    </xf>
    <xf numFmtId="0" fontId="6" fillId="3" borderId="0" xfId="0" applyFont="1" applyFill="1"/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workbookViewId="0" zoomScale="100" zoomScaleNormal="100">
      <selection activeCell="I17" sqref="I17"/>
    </sheetView>
  </sheetViews>
  <sheetFormatPr defaultRowHeight="15" outlineLevelRow="0" outlineLevelCol="0" x14ac:dyDescent="0"/>
  <cols>
    <col min="1" max="1" width="37.5703125" customWidth="1"/>
    <col min="2" max="2" width="22.140625" customWidth="1"/>
    <col min="3" max="3" width="12.5703125" customWidth="1"/>
    <col min="5" max="5" width="20.42578125" customWidth="1"/>
    <col min="6" max="6" width="16.85546875" customWidth="1"/>
    <col min="7" max="7" width="15.85546875" customWidth="1"/>
  </cols>
  <sheetData>
    <row r="1" spans="1:7" x14ac:dyDescent="0.25">
      <c r="A1" s="1" t="s">
        <v>0</v>
      </c>
      <c r="B1" s="2"/>
      <c r="C1" s="3"/>
      <c r="D1" s="3"/>
      <c r="E1" s="3"/>
      <c r="F1" s="3"/>
      <c r="G1" s="4"/>
    </row>
    <row r="2" spans="1:7" x14ac:dyDescent="0.25">
      <c r="A2" s="1" t="s">
        <v>1</v>
      </c>
      <c r="B2" s="5"/>
      <c r="C2" s="6" t="s">
        <v>2</v>
      </c>
      <c r="D2" s="7"/>
      <c r="E2" s="5"/>
      <c r="F2" s="6" t="s">
        <v>3</v>
      </c>
      <c r="G2" s="5"/>
    </row>
    <row r="3" spans="1:7" x14ac:dyDescent="0.25">
      <c r="A3" s="8"/>
      <c r="B3" s="8"/>
      <c r="C3" s="9"/>
      <c r="D3" s="10"/>
      <c r="E3" s="8"/>
      <c r="F3" s="6" t="s">
        <v>4</v>
      </c>
      <c r="G3" s="5"/>
    </row>
    <row r="4" spans="1:7" x14ac:dyDescent="0.25">
      <c r="A4" s="1" t="s">
        <v>5</v>
      </c>
      <c r="B4" s="2"/>
      <c r="C4" s="3"/>
      <c r="D4" s="3"/>
      <c r="E4" s="3"/>
      <c r="F4" s="3"/>
      <c r="G4" s="4"/>
    </row>
    <row r="5" spans="1:7" x14ac:dyDescent="0.25">
      <c r="A5" s="1" t="s">
        <v>6</v>
      </c>
      <c r="B5" s="5"/>
      <c r="C5" s="6" t="s">
        <v>7</v>
      </c>
      <c r="D5" s="7"/>
      <c r="E5" s="5"/>
      <c r="F5" s="6" t="s">
        <v>8</v>
      </c>
      <c r="G5" s="5"/>
    </row>
    <row r="6" spans="1:7" x14ac:dyDescent="0.25">
      <c r="A6" s="8"/>
      <c r="B6" s="8"/>
      <c r="C6" s="9"/>
      <c r="D6" s="10"/>
      <c r="E6" s="8"/>
      <c r="F6" s="6" t="s">
        <v>9</v>
      </c>
      <c r="G6" s="5"/>
    </row>
    <row r="7" spans="1:7" x14ac:dyDescent="0.25">
      <c r="A7" s="1" t="s">
        <v>10</v>
      </c>
      <c r="B7" s="2"/>
      <c r="C7" s="3"/>
      <c r="D7" s="3"/>
      <c r="E7" s="3"/>
      <c r="F7" s="3"/>
      <c r="G7" s="4"/>
    </row>
    <row r="8" spans="1:7" x14ac:dyDescent="0.25">
      <c r="A8" s="1" t="s">
        <v>11</v>
      </c>
      <c r="B8" s="5"/>
      <c r="C8" s="3"/>
      <c r="D8" s="3"/>
      <c r="E8" s="3"/>
      <c r="F8" s="3"/>
      <c r="G8" s="4"/>
    </row>
    <row r="9" spans="1:7" x14ac:dyDescent="0.25">
      <c r="A9" s="1" t="s">
        <v>12</v>
      </c>
      <c r="B9" s="5"/>
      <c r="C9" s="3"/>
      <c r="D9" s="3"/>
      <c r="E9" s="3"/>
      <c r="F9" s="3"/>
      <c r="G9" s="4"/>
    </row>
    <row r="10" spans="1:7" x14ac:dyDescent="0.25">
      <c r="A10" s="1" t="s">
        <v>13</v>
      </c>
      <c r="B10" s="5"/>
      <c r="C10" s="3"/>
      <c r="D10" s="3"/>
      <c r="E10" s="3"/>
      <c r="F10" s="3"/>
      <c r="G10" s="4"/>
    </row>
    <row r="11" spans="1:7" x14ac:dyDescent="0.25">
      <c r="A11" s="1" t="s">
        <v>14</v>
      </c>
      <c r="B11" s="5"/>
      <c r="C11" s="3"/>
      <c r="D11" s="3"/>
      <c r="E11" s="3"/>
      <c r="F11" s="3"/>
      <c r="G11" s="4"/>
    </row>
    <row r="12" spans="1:7" x14ac:dyDescent="0.25">
      <c r="A12" s="1" t="s">
        <v>15</v>
      </c>
      <c r="B12" s="5"/>
      <c r="C12" s="3"/>
      <c r="D12" s="3"/>
      <c r="E12" s="3"/>
      <c r="F12" s="3"/>
      <c r="G12" s="4"/>
    </row>
    <row r="13" spans="1:7" x14ac:dyDescent="0.25">
      <c r="A13" s="1" t="s">
        <v>16</v>
      </c>
      <c r="B13" s="5"/>
      <c r="C13" s="3"/>
      <c r="D13" s="3"/>
      <c r="E13" s="3"/>
      <c r="F13" s="3"/>
      <c r="G13" s="4"/>
    </row>
    <row r="14" spans="1:7" x14ac:dyDescent="0.25">
      <c r="A14" s="1" t="s">
        <v>17</v>
      </c>
      <c r="B14" s="5"/>
      <c r="C14" s="3"/>
      <c r="D14" s="3"/>
      <c r="E14" s="3"/>
      <c r="F14" s="3"/>
      <c r="G14" s="4"/>
    </row>
    <row r="15" spans="1:7" x14ac:dyDescent="0.25">
      <c r="A15" s="1" t="s">
        <v>18</v>
      </c>
      <c r="B15" s="5"/>
      <c r="C15" s="3"/>
      <c r="D15" s="3"/>
      <c r="E15" s="3"/>
      <c r="F15" s="3"/>
      <c r="G15" s="4"/>
    </row>
    <row r="16" spans="1:7" x14ac:dyDescent="0.25">
      <c r="A16" s="1" t="s">
        <v>19</v>
      </c>
      <c r="B16" s="5"/>
      <c r="C16" s="3"/>
      <c r="D16" s="3"/>
      <c r="E16" s="3"/>
      <c r="F16" s="3"/>
      <c r="G16" s="4"/>
    </row>
    <row r="17" spans="1:7" x14ac:dyDescent="0.25">
      <c r="A17" s="11"/>
      <c r="B17" s="5"/>
      <c r="C17" s="5"/>
      <c r="D17" s="5"/>
      <c r="E17" s="5"/>
      <c r="F17" s="5"/>
      <c r="G17" s="5"/>
    </row>
    <row r="18" spans="1:7" x14ac:dyDescent="0.25">
      <c r="A18" s="1" t="s">
        <v>20</v>
      </c>
      <c r="B18" s="5"/>
      <c r="C18" s="3"/>
      <c r="D18" s="3"/>
      <c r="E18" s="3"/>
      <c r="F18" s="3"/>
      <c r="G18" s="4"/>
    </row>
    <row r="19" spans="1:7" x14ac:dyDescent="0.25">
      <c r="A19" s="1" t="s">
        <v>21</v>
      </c>
      <c r="B19" s="5"/>
      <c r="C19" s="3"/>
      <c r="D19" s="3"/>
      <c r="E19" s="3"/>
      <c r="F19" s="3"/>
      <c r="G19" s="4"/>
    </row>
  </sheetData>
  <mergeCells count="22">
    <mergeCell ref="B1:G1"/>
    <mergeCell ref="C2:D3"/>
    <mergeCell ref="A2:A3"/>
    <mergeCell ref="B2:B3"/>
    <mergeCell ref="E2:E3"/>
    <mergeCell ref="B4:G4"/>
    <mergeCell ref="C5:D6"/>
    <mergeCell ref="A5:A6"/>
    <mergeCell ref="B5:B6"/>
    <mergeCell ref="E5:E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8:G18"/>
    <mergeCell ref="B19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workbookViewId="0" zoomScale="100" zoomScaleNormal="100">
      <selection activeCell="I18" sqref="I18"/>
    </sheetView>
  </sheetViews>
  <sheetFormatPr defaultRowHeight="15" outlineLevelRow="0" outlineLevelCol="0" x14ac:dyDescent="0"/>
  <sheetData>
    <row r="1" ht="45" customHeight="1" spans="1:9" x14ac:dyDescent="0.25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3"/>
      <c r="H1" s="13"/>
      <c r="I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ht="45" customHeight="1" spans="1:5" x14ac:dyDescent="0.25">
      <c r="A1" s="14" t="s">
        <v>28</v>
      </c>
      <c r="B1" s="14" t="s">
        <v>29</v>
      </c>
      <c r="C1" s="14" t="s">
        <v>30</v>
      </c>
      <c r="D1" s="14" t="s">
        <v>31</v>
      </c>
      <c r="E1" s="1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43"/>
  <sheetViews>
    <sheetView workbookViewId="0" zoomScale="100" zoomScaleNormal="100">
      <selection activeCell="C46" sqref="C46"/>
    </sheetView>
  </sheetViews>
  <sheetFormatPr defaultRowHeight="15" outlineLevelRow="0" outlineLevelCol="0" x14ac:dyDescent="0" defaultColWidth="8.5703125"/>
  <cols>
    <col min="1" max="1" width="38.42578125" customWidth="1"/>
    <col min="2" max="2" width="46.7109375" customWidth="1"/>
    <col min="3" max="3" width="19.5703125" customWidth="1"/>
    <col min="4" max="4" width="4.140625" customWidth="1"/>
    <col min="5" max="5" width="8.140625" customWidth="1"/>
    <col min="6" max="6" width="13.28515625" customWidth="1"/>
    <col min="7" max="7" width="11.42578125" customWidth="1"/>
  </cols>
  <sheetData>
    <row r="1" spans="1:7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</row>
    <row r="2" spans="1:7" x14ac:dyDescent="0.25">
      <c r="A2" s="15" t="s">
        <v>40</v>
      </c>
      <c r="B2" s="15">
        <f>COUNTIF('Functional Testing'!$M$2:$M$2000,A2)</f>
      </c>
      <c r="C2" s="15">
        <f>COUNTIFS('Functional Testing'!$M$2:$M$2000,$A2,'Functional Testing'!$L$2:$L$2000,"Pass")</f>
      </c>
      <c r="D2" s="15">
        <f>COUNTIFS('Functional Testing'!$M$2:$M$2000,$A2,'Functional Testing'!$L$2:$L$2000,"Fail")</f>
      </c>
      <c r="E2" s="15">
        <f>COUNTIFS('Functional Testing'!$M$2:$M$2000,$A2,'Functional Testing'!$L$2:$L$2000,"Blocked")</f>
      </c>
      <c r="F2" s="15">
        <f>COUNTIFS('Functional Testing'!$M$2:$M$2000,$A2,'Functional Testing'!$L$2:$L$2000,"Not Executed")</f>
      </c>
      <c r="G2" s="16">
        <f>IF(B2=0,0,(C2+D2+E2)/B2)</f>
      </c>
    </row>
    <row r="3" spans="1:7" x14ac:dyDescent="0.25">
      <c r="A3" s="15" t="s">
        <v>41</v>
      </c>
      <c r="B3" s="15">
        <f>COUNTIF('Functional Testing'!$M$2:$M$2000,A3)</f>
      </c>
      <c r="C3" s="15">
        <f>COUNTIFS('Functional Testing'!$M$2:$M$2000,$A3,'Functional Testing'!$L$2:$L$2000,"Pass")</f>
      </c>
      <c r="D3" s="15">
        <f>COUNTIFS('Functional Testing'!$M$2:$M$2000,$A3,'Functional Testing'!$L$2:$L$2000,"Fail")</f>
      </c>
      <c r="E3" s="15">
        <f>COUNTIFS('Functional Testing'!$M$2:$M$2000,$A3,'Functional Testing'!$L$2:$L$2000,"Blocked")</f>
      </c>
      <c r="F3" s="15">
        <f>COUNTIFS('Functional Testing'!$M$2:$M$2000,$A3,'Functional Testing'!$L$2:$L$2000,"Not Executed")</f>
      </c>
      <c r="G3" s="16">
        <f>IF(B3=0,0,(C3+D3+E3)/B3)</f>
      </c>
    </row>
    <row r="4" spans="1:7" x14ac:dyDescent="0.25">
      <c r="A4" s="15" t="s">
        <v>42</v>
      </c>
      <c r="B4" s="15">
        <f>COUNTIF('Functional Testing'!$M$2:$M$2000,A4)</f>
      </c>
      <c r="C4" s="15">
        <f>COUNTIFS('Functional Testing'!$M$2:$M$2000,$A4,'Functional Testing'!$L$2:$L$2000,"Pass")</f>
      </c>
      <c r="D4" s="15">
        <f>COUNTIFS('Functional Testing'!$M$2:$M$2000,$A4,'Functional Testing'!$L$2:$L$2000,"Fail")</f>
      </c>
      <c r="E4" s="15">
        <f>COUNTIFS('Functional Testing'!$M$2:$M$2000,$A4,'Functional Testing'!$L$2:$L$2000,"Blocked")</f>
      </c>
      <c r="F4" s="15">
        <f>COUNTIFS('Functional Testing'!$M$2:$M$2000,$A4,'Functional Testing'!$L$2:$L$2000,"Not Executed")</f>
      </c>
      <c r="G4" s="16">
        <f>IF(B4=0,0,(C4+D4+E4)/B4)</f>
      </c>
    </row>
    <row r="5" spans="1:7" x14ac:dyDescent="0.25">
      <c r="A5" s="15" t="s">
        <v>43</v>
      </c>
      <c r="B5" s="15">
        <f>COUNTIF('Functional Testing'!$M$2:$M$2000,A5)</f>
      </c>
      <c r="C5" s="15">
        <f>COUNTIFS('Functional Testing'!$M$2:$M$2000,$A5,'Functional Testing'!$L$2:$L$2000,"Pass")</f>
      </c>
      <c r="D5" s="15">
        <f>COUNTIFS('Functional Testing'!$M$2:$M$2000,$A5,'Functional Testing'!$L$2:$L$2000,"Fail")</f>
      </c>
      <c r="E5" s="15">
        <f>COUNTIFS('Functional Testing'!$M$2:$M$2000,$A5,'Functional Testing'!$L$2:$L$2000,"Blocked")</f>
      </c>
      <c r="F5" s="15">
        <f>COUNTIFS('Functional Testing'!$M$2:$M$2000,$A5,'Functional Testing'!$L$2:$L$2000,"Not Executed")</f>
      </c>
      <c r="G5" s="16">
        <f>IF(B5=0,0,(C5+D5+E5)/B5)</f>
      </c>
    </row>
    <row r="6" spans="1:7" x14ac:dyDescent="0.25">
      <c r="A6" s="15" t="s">
        <v>44</v>
      </c>
      <c r="B6" s="15">
        <f>COUNTIF('Functional Testing'!$M$2:$M$2000,A6)</f>
      </c>
      <c r="C6" s="15">
        <f>COUNTIFS('Functional Testing'!$M$2:$M$2000,$A6,'Functional Testing'!$L$2:$L$2000,"Pass")</f>
      </c>
      <c r="D6" s="15">
        <f>COUNTIFS('Functional Testing'!$M$2:$M$2000,$A6,'Functional Testing'!$L$2:$L$2000,"Fail")</f>
      </c>
      <c r="E6" s="15">
        <f>COUNTIFS('Functional Testing'!$M$2:$M$2000,$A6,'Functional Testing'!$L$2:$L$2000,"Blocked")</f>
      </c>
      <c r="F6" s="15">
        <f>COUNTIFS('Functional Testing'!$M$2:$M$2000,$A6,'Functional Testing'!$L$2:$L$2000,"Not Executed")</f>
      </c>
      <c r="G6" s="16">
        <f>IF(B6=0,0,(C6+D6+E6)/B6)</f>
      </c>
    </row>
    <row r="7" spans="1:7" x14ac:dyDescent="0.25">
      <c r="A7" s="15" t="s">
        <v>45</v>
      </c>
      <c r="B7" s="15">
        <f>COUNTIF('Functional Testing'!$M$2:$M$2000,A7)</f>
      </c>
      <c r="C7" s="15">
        <f>COUNTIFS('Functional Testing'!$M$2:$M$2000,$A7,'Functional Testing'!$L$2:$L$2000,"Pass")</f>
      </c>
      <c r="D7" s="15">
        <f>COUNTIFS('Functional Testing'!$M$2:$M$2000,$A7,'Functional Testing'!$L$2:$L$2000,"Fail")</f>
      </c>
      <c r="E7" s="15">
        <f>COUNTIFS('Functional Testing'!$M$2:$M$2000,$A7,'Functional Testing'!$L$2:$L$2000,"Blocked")</f>
      </c>
      <c r="F7" s="15">
        <f>COUNTIFS('Functional Testing'!$M$2:$M$2000,$A7,'Functional Testing'!$L$2:$L$2000,"Not Executed")</f>
      </c>
      <c r="G7" s="16">
        <f>IF(B7=0,0,(C7+D7+E7)/B7)</f>
      </c>
    </row>
    <row r="8" spans="1:7" x14ac:dyDescent="0.25">
      <c r="A8" s="15" t="s">
        <v>46</v>
      </c>
      <c r="B8" s="15">
        <f>COUNTIF('Functional Testing'!$M$2:$M$2000,A8)</f>
      </c>
      <c r="C8" s="15">
        <f>COUNTIFS('Functional Testing'!$M$2:$M$2000,$A8,'Functional Testing'!$L$2:$L$2000,"Pass")</f>
      </c>
      <c r="D8" s="15">
        <f>COUNTIFS('Functional Testing'!$M$2:$M$2000,$A8,'Functional Testing'!$L$2:$L$2000,"Fail")</f>
      </c>
      <c r="E8" s="15">
        <f>COUNTIFS('Functional Testing'!$M$2:$M$2000,$A8,'Functional Testing'!$L$2:$L$2000,"Blocked")</f>
      </c>
      <c r="F8" s="15">
        <f>COUNTIFS('Functional Testing'!$M$2:$M$2000,$A8,'Functional Testing'!$L$2:$L$2000,"Not Executed")</f>
      </c>
      <c r="G8" s="16">
        <f>IF(B8=0,0,(C8+D8+E8)/B8)</f>
      </c>
    </row>
    <row r="9" spans="1:7" x14ac:dyDescent="0.25">
      <c r="A9" s="15" t="s">
        <v>47</v>
      </c>
      <c r="B9" s="15">
        <f>COUNTIF('Functional Testing'!$M$2:$M$2000,A9)</f>
      </c>
      <c r="C9" s="15">
        <f>COUNTIFS('Functional Testing'!$M$2:$M$2000,$A9,'Functional Testing'!$L$2:$L$2000,"Pass")</f>
      </c>
      <c r="D9" s="15">
        <f>COUNTIFS('Functional Testing'!$M$2:$M$2000,$A9,'Functional Testing'!$L$2:$L$2000,"Fail")</f>
      </c>
      <c r="E9" s="15">
        <f>COUNTIFS('Functional Testing'!$M$2:$M$2000,$A9,'Functional Testing'!$L$2:$L$2000,"Blocked")</f>
      </c>
      <c r="F9" s="15">
        <f>COUNTIFS('Functional Testing'!$M$2:$M$2000,$A9,'Functional Testing'!$L$2:$L$2000,"Not Executed")</f>
      </c>
      <c r="G9" s="16">
        <f>IF(B9=0,0,(C9+D9+E9)/B9)</f>
      </c>
    </row>
    <row r="10" spans="1:7" x14ac:dyDescent="0.25">
      <c r="A10" s="15" t="s">
        <v>48</v>
      </c>
      <c r="B10" s="15">
        <f>COUNTIF('Functional Testing'!$M$2:$M$2000,A10)</f>
      </c>
      <c r="C10" s="15">
        <f>COUNTIFS('Functional Testing'!$M$2:$M$2000,$A10,'Functional Testing'!$L$2:$L$2000,"Pass")</f>
      </c>
      <c r="D10" s="15">
        <f>COUNTIFS('Functional Testing'!$M$2:$M$2000,$A10,'Functional Testing'!$L$2:$L$2000,"Fail")</f>
      </c>
      <c r="E10" s="15">
        <f>COUNTIFS('Functional Testing'!$M$2:$M$2000,$A10,'Functional Testing'!$L$2:$L$2000,"Blocked")</f>
      </c>
      <c r="F10" s="15">
        <f>COUNTIFS('Functional Testing'!$M$2:$M$2000,$A10,'Functional Testing'!$L$2:$L$2000,"Not Executed")</f>
      </c>
      <c r="G10" s="16">
        <f>IF(B10=0,0,(C10+D10+E10)/B10)</f>
      </c>
    </row>
    <row r="11" spans="1:7" x14ac:dyDescent="0.25">
      <c r="A11" s="15" t="s">
        <v>49</v>
      </c>
      <c r="B11" s="15">
        <f>COUNTIF('Functional Testing'!$M$2:$M$2000,A11)</f>
      </c>
      <c r="C11" s="15">
        <f>COUNTIFS('Functional Testing'!$M$2:$M$2000,$A11,'Functional Testing'!$L$2:$L$2000,"Pass")</f>
      </c>
      <c r="D11" s="15">
        <f>COUNTIFS('Functional Testing'!$M$2:$M$2000,$A11,'Functional Testing'!$L$2:$L$2000,"Fail")</f>
      </c>
      <c r="E11" s="15">
        <f>COUNTIFS('Functional Testing'!$M$2:$M$2000,$A11,'Functional Testing'!$L$2:$L$2000,"Blocked")</f>
      </c>
      <c r="F11" s="15">
        <f>COUNTIFS('Functional Testing'!$M$2:$M$2000,$A11,'Functional Testing'!$L$2:$L$2000,"Not Executed")</f>
      </c>
      <c r="G11" s="16">
        <f>IF(B11=0,0,(C11+D11+E11)/B11)</f>
      </c>
    </row>
    <row r="12" spans="1:7" x14ac:dyDescent="0.25">
      <c r="A12" s="15" t="s">
        <v>50</v>
      </c>
      <c r="B12" s="15">
        <f>COUNTIF('Functional Testing'!$M$2:$M$2000,A12)</f>
      </c>
      <c r="C12" s="15">
        <f>COUNTIFS('Functional Testing'!$M$2:$M$2000,$A12,'Functional Testing'!$L$2:$L$2000,"Pass")</f>
      </c>
      <c r="D12" s="15">
        <f>COUNTIFS('Functional Testing'!$M$2:$M$2000,$A12,'Functional Testing'!$L$2:$L$2000,"Fail")</f>
      </c>
      <c r="E12" s="15">
        <f>COUNTIFS('Functional Testing'!$M$2:$M$2000,$A12,'Functional Testing'!$L$2:$L$2000,"Blocked")</f>
      </c>
      <c r="F12" s="15">
        <f>COUNTIFS('Functional Testing'!$M$2:$M$2000,$A12,'Functional Testing'!$L$2:$L$2000,"Not Executed")</f>
      </c>
      <c r="G12" s="16">
        <f>IF(B12=0,0,(C12+D12+E12)/B12)</f>
      </c>
    </row>
    <row r="13" spans="1:7" x14ac:dyDescent="0.25">
      <c r="A13" s="15" t="s">
        <v>51</v>
      </c>
      <c r="B13" s="15">
        <f>COUNTIF('Functional Testing'!$M$2:$M$2000,A13)</f>
      </c>
      <c r="C13" s="15">
        <f>COUNTIFS('Functional Testing'!$M$2:$M$2000,$A13,'Functional Testing'!$L$2:$L$2000,"Pass")</f>
      </c>
      <c r="D13" s="15">
        <f>COUNTIFS('Functional Testing'!$M$2:$M$2000,$A13,'Functional Testing'!$L$2:$L$2000,"Fail")</f>
      </c>
      <c r="E13" s="15">
        <f>COUNTIFS('Functional Testing'!$M$2:$M$2000,$A13,'Functional Testing'!$L$2:$L$2000,"Blocked")</f>
      </c>
      <c r="F13" s="15">
        <f>COUNTIFS('Functional Testing'!$M$2:$M$2000,$A13,'Functional Testing'!$L$2:$L$2000,"Not Executed")</f>
      </c>
      <c r="G13" s="16">
        <f>IF(B13=0,0,(C13+D13+E13)/B13)</f>
      </c>
    </row>
    <row r="14" spans="1:7" x14ac:dyDescent="0.25">
      <c r="A14" s="15" t="s">
        <v>52</v>
      </c>
      <c r="B14" s="15">
        <f>COUNTIF('Functional Testing'!$M$2:$M$2000,A14)</f>
      </c>
      <c r="C14" s="15">
        <f>COUNTIFS('Functional Testing'!$M$2:$M$2000,$A14,'Functional Testing'!$L$2:$L$2000,"Pass")</f>
      </c>
      <c r="D14" s="15">
        <f>COUNTIFS('Functional Testing'!$M$2:$M$2000,$A14,'Functional Testing'!$L$2:$L$2000,"Fail")</f>
      </c>
      <c r="E14" s="15">
        <f>COUNTIFS('Functional Testing'!$M$2:$M$2000,$A14,'Functional Testing'!$L$2:$L$2000,"Blocked")</f>
      </c>
      <c r="F14" s="15">
        <f>COUNTIFS('Functional Testing'!$M$2:$M$2000,$A14,'Functional Testing'!$L$2:$L$2000,"Not Executed")</f>
      </c>
      <c r="G14" s="16">
        <f>IF(B14=0,0,(C14+D14+E14)/B14)</f>
      </c>
    </row>
    <row r="15" spans="1:7" x14ac:dyDescent="0.25">
      <c r="A15" s="15" t="s">
        <v>53</v>
      </c>
      <c r="B15" s="15">
        <f>COUNTIF('Functional Testing'!$M$2:$M$2000,A15)</f>
      </c>
      <c r="C15" s="15">
        <f>COUNTIFS('Functional Testing'!$M$2:$M$2000,$A15,'Functional Testing'!$L$2:$L$2000,"Pass")</f>
      </c>
      <c r="D15" s="15">
        <f>COUNTIFS('Functional Testing'!$M$2:$M$2000,$A15,'Functional Testing'!$L$2:$L$2000,"Fail")</f>
      </c>
      <c r="E15" s="15">
        <f>COUNTIFS('Functional Testing'!$M$2:$M$2000,$A15,'Functional Testing'!$L$2:$L$2000,"Blocked")</f>
      </c>
      <c r="F15" s="15">
        <f>COUNTIFS('Functional Testing'!$M$2:$M$2000,$A15,'Functional Testing'!$L$2:$L$2000,"Not Executed")</f>
      </c>
      <c r="G15" s="16">
        <f>IF(B15=0,0,(C15+D15+E15)/B15)</f>
      </c>
    </row>
    <row r="16" spans="1:7" x14ac:dyDescent="0.25">
      <c r="A16" s="15" t="s">
        <v>54</v>
      </c>
      <c r="B16" s="15">
        <f>COUNTIF('Functional Testing'!$M$2:$M$2000,A16)</f>
      </c>
      <c r="C16" s="15">
        <f>COUNTIFS('Functional Testing'!$M$2:$M$2000,$A16,'Functional Testing'!$L$2:$L$2000,"Pass")</f>
      </c>
      <c r="D16" s="15">
        <f>COUNTIFS('Functional Testing'!$M$2:$M$2000,$A16,'Functional Testing'!$L$2:$L$2000,"Fail")</f>
      </c>
      <c r="E16" s="15">
        <f>COUNTIFS('Functional Testing'!$M$2:$M$2000,$A16,'Functional Testing'!$L$2:$L$2000,"Blocked")</f>
      </c>
      <c r="F16" s="15">
        <f>COUNTIFS('Functional Testing'!$M$2:$M$2000,$A16,'Functional Testing'!$L$2:$L$2000,"Not Executed")</f>
      </c>
      <c r="G16" s="16">
        <f>IF(B16=0,0,(C16+D16+E16)/B16)</f>
      </c>
    </row>
    <row r="17" spans="1:7" x14ac:dyDescent="0.25">
      <c r="A17" s="15" t="s">
        <v>55</v>
      </c>
      <c r="B17" s="15">
        <f>COUNTIF('Functional Testing'!$M$2:$M$2000,A17)</f>
      </c>
      <c r="C17" s="15">
        <f>COUNTIFS('Functional Testing'!$M$2:$M$2000,$A17,'Functional Testing'!$L$2:$L$2000,"Pass")</f>
      </c>
      <c r="D17" s="15">
        <f>COUNTIFS('Functional Testing'!$M$2:$M$2000,$A17,'Functional Testing'!$L$2:$L$2000,"Fail")</f>
      </c>
      <c r="E17" s="15">
        <f>COUNTIFS('Functional Testing'!$M$2:$M$2000,$A17,'Functional Testing'!$L$2:$L$2000,"Blocked")</f>
      </c>
      <c r="F17" s="15">
        <f>COUNTIFS('Functional Testing'!$M$2:$M$2000,$A17,'Functional Testing'!$L$2:$L$2000,"Not Executed")</f>
      </c>
      <c r="G17" s="16">
        <f>IF(B17=0,0,(C17+D17+E17)/B17)</f>
      </c>
    </row>
    <row r="18" spans="1:7" x14ac:dyDescent="0.25">
      <c r="A18" s="15" t="s">
        <v>56</v>
      </c>
      <c r="B18" s="15">
        <f>COUNTIF('Functional Testing'!$M$2:$M$2000,A18)</f>
      </c>
      <c r="C18" s="15">
        <f>COUNTIFS('Functional Testing'!$M$2:$M$2000,$A18,'Functional Testing'!$L$2:$L$2000,"Pass")</f>
      </c>
      <c r="D18" s="15">
        <f>COUNTIFS('Functional Testing'!$M$2:$M$2000,$A18,'Functional Testing'!$L$2:$L$2000,"Fail")</f>
      </c>
      <c r="E18" s="15">
        <f>COUNTIFS('Functional Testing'!$M$2:$M$2000,$A18,'Functional Testing'!$L$2:$L$2000,"Blocked")</f>
      </c>
      <c r="F18" s="15">
        <f>COUNTIFS('Functional Testing'!$M$2:$M$2000,$A18,'Functional Testing'!$L$2:$L$2000,"Not Executed")</f>
      </c>
      <c r="G18" s="16">
        <f>IF(B18=0,0,(C18+D18+E18)/B18)</f>
      </c>
    </row>
    <row r="19" spans="1:7" x14ac:dyDescent="0.25">
      <c r="A19" s="15" t="s">
        <v>57</v>
      </c>
      <c r="B19" s="15">
        <f>COUNTIF('Functional Testing'!$M$2:$M$2000,A19)</f>
      </c>
      <c r="C19" s="15">
        <f>COUNTIFS('Functional Testing'!$M$2:$M$2000,$A19,'Functional Testing'!$L$2:$L$2000,"Pass")</f>
      </c>
      <c r="D19" s="15">
        <f>COUNTIFS('Functional Testing'!$M$2:$M$2000,$A19,'Functional Testing'!$L$2:$L$2000,"Fail")</f>
      </c>
      <c r="E19" s="15">
        <f>COUNTIFS('Functional Testing'!$M$2:$M$2000,$A19,'Functional Testing'!$L$2:$L$2000,"Blocked")</f>
      </c>
      <c r="F19" s="15">
        <f>COUNTIFS('Functional Testing'!$M$2:$M$2000,$A19,'Functional Testing'!$L$2:$L$2000,"Not Executed")</f>
      </c>
      <c r="G19" s="16">
        <f>IF(B19=0,0,(C19+D19+E19)/B19)</f>
      </c>
    </row>
    <row r="20" spans="1:7" x14ac:dyDescent="0.25">
      <c r="A20" s="15" t="s">
        <v>58</v>
      </c>
      <c r="B20" s="15">
        <f>COUNTIF('Functional Testing'!$M$2:$M$2000,A20)</f>
      </c>
      <c r="C20" s="15">
        <f>COUNTIFS('Functional Testing'!$M$2:$M$2000,$A20,'Functional Testing'!$L$2:$L$2000,"Pass")</f>
      </c>
      <c r="D20" s="15">
        <f>COUNTIFS('Functional Testing'!$M$2:$M$2000,$A20,'Functional Testing'!$L$2:$L$2000,"Fail")</f>
      </c>
      <c r="E20" s="15">
        <f>COUNTIFS('Functional Testing'!$M$2:$M$2000,$A20,'Functional Testing'!$L$2:$L$2000,"Blocked")</f>
      </c>
      <c r="F20" s="15">
        <f>COUNTIFS('Functional Testing'!$M$2:$M$2000,$A20,'Functional Testing'!$L$2:$L$2000,"Not Executed")</f>
      </c>
      <c r="G20" s="16">
        <f>IF(B20=0,0,(C20+D20+E20)/B20)</f>
      </c>
    </row>
    <row r="21" spans="1:7" x14ac:dyDescent="0.25">
      <c r="A21" s="15" t="s">
        <v>59</v>
      </c>
      <c r="B21" s="15">
        <f>COUNTIF('Functional Testing'!$M$2:$M$2000,A21)</f>
      </c>
      <c r="C21" s="15">
        <f>COUNTIFS('Functional Testing'!$M$2:$M$2000,$A21,'Functional Testing'!$L$2:$L$2000,"Pass")</f>
      </c>
      <c r="D21" s="15">
        <f>COUNTIFS('Functional Testing'!$M$2:$M$2000,$A21,'Functional Testing'!$L$2:$L$2000,"Fail")</f>
      </c>
      <c r="E21" s="15">
        <f>COUNTIFS('Functional Testing'!$M$2:$M$2000,$A21,'Functional Testing'!$L$2:$L$2000,"Blocked")</f>
      </c>
      <c r="F21" s="15">
        <f>COUNTIFS('Functional Testing'!$M$2:$M$2000,$A21,'Functional Testing'!$L$2:$L$2000,"Not Executed")</f>
      </c>
      <c r="G21" s="16">
        <f>IF(B21=0,0,(C21+D21+E21)/B21)</f>
      </c>
    </row>
    <row r="22" spans="1:7" x14ac:dyDescent="0.25">
      <c r="A22" s="15" t="s">
        <v>60</v>
      </c>
      <c r="B22" s="15">
        <f>COUNTIF('Functional Testing'!$M$2:$M$2000,A22)</f>
      </c>
      <c r="C22" s="15">
        <f>COUNTIFS('Functional Testing'!$M$2:$M$2000,$A22,'Functional Testing'!$L$2:$L$2000,"Pass")</f>
      </c>
      <c r="D22" s="15">
        <f>COUNTIFS('Functional Testing'!$M$2:$M$2000,$A22,'Functional Testing'!$L$2:$L$2000,"Fail")</f>
      </c>
      <c r="E22" s="15">
        <f>COUNTIFS('Functional Testing'!$M$2:$M$2000,$A22,'Functional Testing'!$L$2:$L$2000,"Blocked")</f>
      </c>
      <c r="F22" s="15">
        <f>COUNTIFS('Functional Testing'!$M$2:$M$2000,$A22,'Functional Testing'!$L$2:$L$2000,"Not Executed")</f>
      </c>
      <c r="G22" s="16">
        <f>IF(B22=0,0,(C22+D22+E22)/B22)</f>
      </c>
    </row>
    <row r="23" spans="1:7" x14ac:dyDescent="0.25">
      <c r="A23" s="15" t="s">
        <v>61</v>
      </c>
      <c r="B23" s="15">
        <f>COUNTIF('Functional Testing'!$M$2:$M$2000,A23)</f>
      </c>
      <c r="C23" s="15">
        <f>COUNTIFS('Functional Testing'!$M$2:$M$2000,$A23,'Functional Testing'!$L$2:$L$2000,"Pass")</f>
      </c>
      <c r="D23" s="15">
        <f>COUNTIFS('Functional Testing'!$M$2:$M$2000,$A23,'Functional Testing'!$L$2:$L$2000,"Fail")</f>
      </c>
      <c r="E23" s="15">
        <f>COUNTIFS('Functional Testing'!$M$2:$M$2000,$A23,'Functional Testing'!$L$2:$L$2000,"Blocked")</f>
      </c>
      <c r="F23" s="15">
        <f>COUNTIFS('Functional Testing'!$M$2:$M$2000,$A23,'Functional Testing'!$L$2:$L$2000,"Not Executed")</f>
      </c>
      <c r="G23" s="16">
        <f>IF(B23=0,0,(C23+D23+E23)/B23)</f>
      </c>
    </row>
    <row r="24" spans="1:7" x14ac:dyDescent="0.25">
      <c r="A24" s="17" t="s">
        <v>34</v>
      </c>
      <c r="B24" s="17">
        <f>SUM(B2:B23)</f>
      </c>
      <c r="C24" s="17">
        <f>SUM(C2:C23)</f>
      </c>
      <c r="D24" s="17">
        <f>SUM(D2:D23)</f>
      </c>
      <c r="E24" s="17">
        <f>SUM(E2:E23)</f>
      </c>
      <c r="F24" s="17">
        <f>SUM(F2:F23)</f>
      </c>
      <c r="G24" s="18">
        <f>IF(B24=0,0,(C24+D24+E24)/B24)</f>
      </c>
    </row>
    <row r="26" spans="1:1" x14ac:dyDescent="0.25">
      <c r="A26" s="19" t="s">
        <v>62</v>
      </c>
    </row>
    <row r="27" spans="1:7" x14ac:dyDescent="0.25">
      <c r="A27" s="14" t="s">
        <v>63</v>
      </c>
      <c r="B27" s="14" t="s">
        <v>34</v>
      </c>
      <c r="C27" s="14" t="s">
        <v>35</v>
      </c>
      <c r="D27" s="14" t="s">
        <v>36</v>
      </c>
      <c r="E27" s="14" t="s">
        <v>37</v>
      </c>
      <c r="F27" s="14" t="s">
        <v>38</v>
      </c>
      <c r="G27" s="14" t="s">
        <v>39</v>
      </c>
    </row>
    <row r="28" spans="1:7" x14ac:dyDescent="0.25">
      <c r="A28" s="15" t="s">
        <v>64</v>
      </c>
      <c r="B28" s="15">
        <f>COUNTIF('Functional Testing'!$K$2:$K$2000,A28)</f>
      </c>
      <c r="C28" s="15">
        <f>COUNTIFS('Functional Testing'!$K$2:$K$2000,$A28,'Functional Testing'!$L$2:$L$2000,"Pass")</f>
      </c>
      <c r="D28" s="15">
        <f>COUNTIFS('Functional Testing'!$K$2:$K$2000,$A28,'Functional Testing'!$L$2:$L$2000,"Fail")</f>
      </c>
      <c r="E28" s="15">
        <f>COUNTIFS('Functional Testing'!$K$2:$K$2000,$A28,'Functional Testing'!$L$2:$L$2000,"Blocked")</f>
      </c>
      <c r="F28" s="15">
        <f>COUNTIFS('Functional Testing'!$K$2:$K$2000,$A28,'Functional Testing'!$L$2:$L$2000,"Not Executed")</f>
      </c>
      <c r="G28" s="16">
        <f>IF(B28=0,0,(C28+D28+E28)/B28)</f>
      </c>
    </row>
    <row r="29" spans="1:7" x14ac:dyDescent="0.25">
      <c r="A29" s="15" t="s">
        <v>65</v>
      </c>
      <c r="B29" s="15">
        <f>COUNTIF('Functional Testing'!$K$2:$K$2000,A29)</f>
      </c>
      <c r="C29" s="15">
        <f>COUNTIFS('Functional Testing'!$K$2:$K$2000,$A29,'Functional Testing'!$L$2:$L$2000,"Pass")</f>
      </c>
      <c r="D29" s="15">
        <f>COUNTIFS('Functional Testing'!$K$2:$K$2000,$A29,'Functional Testing'!$L$2:$L$2000,"Fail")</f>
      </c>
      <c r="E29" s="15">
        <f>COUNTIFS('Functional Testing'!$K$2:$K$2000,$A29,'Functional Testing'!$L$2:$L$2000,"Blocked")</f>
      </c>
      <c r="F29" s="15">
        <f>COUNTIFS('Functional Testing'!$K$2:$K$2000,$A29,'Functional Testing'!$L$2:$L$2000,"Not Executed")</f>
      </c>
      <c r="G29" s="16">
        <f>IF(B29=0,0,(C29+D29+E29)/B29)</f>
      </c>
    </row>
    <row r="30" spans="1:7" x14ac:dyDescent="0.25">
      <c r="A30" s="15" t="s">
        <v>66</v>
      </c>
      <c r="B30" s="15">
        <f>COUNTIF('Functional Testing'!$K$2:$K$2000,A30)</f>
      </c>
      <c r="C30" s="15">
        <f>COUNTIFS('Functional Testing'!$K$2:$K$2000,$A30,'Functional Testing'!$L$2:$L$2000,"Pass")</f>
      </c>
      <c r="D30" s="15">
        <f>COUNTIFS('Functional Testing'!$K$2:$K$2000,$A30,'Functional Testing'!$L$2:$L$2000,"Fail")</f>
      </c>
      <c r="E30" s="15">
        <f>COUNTIFS('Functional Testing'!$K$2:$K$2000,$A30,'Functional Testing'!$L$2:$L$2000,"Blocked")</f>
      </c>
      <c r="F30" s="15">
        <f>COUNTIFS('Functional Testing'!$K$2:$K$2000,$A30,'Functional Testing'!$L$2:$L$2000,"Not Executed")</f>
      </c>
      <c r="G30" s="16">
        <f>IF(B30=0,0,(C30+D30+E30)/B30)</f>
      </c>
    </row>
    <row r="33" spans="1:1" x14ac:dyDescent="0.25">
      <c r="A33" s="19" t="s">
        <v>67</v>
      </c>
    </row>
    <row r="34" spans="1:3" x14ac:dyDescent="0.25">
      <c r="A34" s="14" t="s">
        <v>68</v>
      </c>
      <c r="B34" s="14" t="s">
        <v>69</v>
      </c>
      <c r="C34" s="14" t="s">
        <v>70</v>
      </c>
    </row>
    <row r="35" spans="1:3" x14ac:dyDescent="0.25">
      <c r="A35" s="15"/>
      <c r="B35" s="15"/>
      <c r="C35" s="15" t="s">
        <v>71</v>
      </c>
    </row>
    <row r="36" ht="30" customHeight="1" spans="1:3" x14ac:dyDescent="0.25">
      <c r="A36" s="15"/>
      <c r="B36" s="15"/>
      <c r="C36" s="15" t="s">
        <v>72</v>
      </c>
    </row>
    <row r="37" spans="1:3" x14ac:dyDescent="0.25">
      <c r="A37" s="15"/>
      <c r="B37" s="15"/>
      <c r="C37" s="15" t="s">
        <v>73</v>
      </c>
    </row>
    <row r="38" spans="1:3" x14ac:dyDescent="0.25">
      <c r="A38" s="15"/>
      <c r="B38" s="15"/>
      <c r="C38" s="15" t="s">
        <v>73</v>
      </c>
    </row>
    <row r="39" spans="1:3" x14ac:dyDescent="0.25">
      <c r="A39" s="15"/>
      <c r="B39" s="15"/>
      <c r="C39" s="15" t="s">
        <v>71</v>
      </c>
    </row>
    <row r="40" spans="1:3" x14ac:dyDescent="0.25">
      <c r="A40" s="15"/>
      <c r="B40" s="15"/>
      <c r="C40" s="15" t="s">
        <v>71</v>
      </c>
    </row>
    <row r="41" spans="1:3" x14ac:dyDescent="0.25">
      <c r="A41" s="15"/>
      <c r="B41" s="15"/>
      <c r="C41" s="15" t="s">
        <v>74</v>
      </c>
    </row>
    <row r="42" spans="1:3" x14ac:dyDescent="0.25">
      <c r="A42" s="15"/>
      <c r="B42" s="15"/>
      <c r="C42" s="15" t="s">
        <v>74</v>
      </c>
    </row>
    <row r="43" spans="1:3" x14ac:dyDescent="0.25">
      <c r="A43" s="15"/>
      <c r="B43" s="15"/>
      <c r="C43" s="15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ht="30" customHeight="1" spans="1:5" x14ac:dyDescent="0.25">
      <c r="A1" s="14" t="s">
        <v>76</v>
      </c>
      <c r="B1" s="14" t="s">
        <v>77</v>
      </c>
      <c r="C1" s="14" t="s">
        <v>78</v>
      </c>
      <c r="D1" s="14" t="s">
        <v>63</v>
      </c>
      <c r="E1" s="14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70"/>
  <sheetViews>
    <sheetView workbookViewId="0" zoomScale="100" zoomScaleNormal="100">
      <selection activeCell="C2" sqref="C2"/>
    </sheetView>
  </sheetViews>
  <sheetFormatPr defaultRowHeight="15" outlineLevelRow="0" outlineLevelCol="0" x14ac:dyDescent="0"/>
  <cols>
    <col min="1" max="1" width="34" style="20" customWidth="1"/>
    <col min="2" max="2" width="34.42578125" style="20" customWidth="1"/>
    <col min="3" max="3" width="13.140625" style="20" customWidth="1"/>
    <col min="4" max="4" width="65.140625" style="20" customWidth="1"/>
    <col min="5" max="5" width="34" style="20" customWidth="1"/>
    <col min="6" max="6" width="8.140625" style="21" customWidth="1"/>
    <col min="7" max="7" width="46" style="21" customWidth="1"/>
    <col min="8" max="8" width="28" style="21" customWidth="1"/>
    <col min="9" max="9" width="46" style="21" customWidth="1"/>
    <col min="10" max="12" width="14" style="21" customWidth="1"/>
    <col min="13" max="16384" width="18" style="21" customWidth="1"/>
  </cols>
  <sheetData>
    <row r="1" ht="30" customHeight="1" spans="1:13" x14ac:dyDescent="0.25">
      <c r="A1" s="22" t="s">
        <v>78</v>
      </c>
      <c r="B1" s="22" t="s">
        <v>79</v>
      </c>
      <c r="C1" s="22" t="s">
        <v>80</v>
      </c>
      <c r="D1" s="22" t="s">
        <v>81</v>
      </c>
      <c r="E1" s="22" t="s">
        <v>82</v>
      </c>
      <c r="F1" s="23" t="s">
        <v>83</v>
      </c>
      <c r="G1" s="23" t="s">
        <v>84</v>
      </c>
      <c r="H1" s="23" t="s">
        <v>85</v>
      </c>
      <c r="I1" s="23" t="s">
        <v>86</v>
      </c>
      <c r="J1" s="23" t="s">
        <v>87</v>
      </c>
      <c r="K1" s="23" t="s">
        <v>63</v>
      </c>
      <c r="L1" s="23" t="s">
        <v>27</v>
      </c>
      <c r="M1" s="23" t="s">
        <v>33</v>
      </c>
    </row>
    <row r="2" ht="30" customHeight="1" spans="1:13" x14ac:dyDescent="0.25">
      <c r="A2" s="24" t="s">
        <v>88</v>
      </c>
      <c r="B2" s="24" t="s">
        <v>89</v>
      </c>
      <c r="C2" s="24" t="s">
        <v>90</v>
      </c>
      <c r="D2" s="24" t="s">
        <v>91</v>
      </c>
      <c r="E2" s="24" t="s">
        <v>92</v>
      </c>
      <c r="F2" s="24" t="s">
        <v>93</v>
      </c>
      <c r="G2" s="24" t="s">
        <v>94</v>
      </c>
      <c r="H2" s="24"/>
      <c r="I2" s="24"/>
      <c r="J2" s="24"/>
      <c r="K2" s="24" t="s">
        <v>64</v>
      </c>
      <c r="L2" s="24" t="s">
        <v>38</v>
      </c>
      <c r="M2" s="20" t="s">
        <v>50</v>
      </c>
    </row>
    <row r="3" ht="60" customHeight="1" spans="1:13" x14ac:dyDescent="0.25">
      <c r="A3" s="24"/>
      <c r="B3" s="24"/>
      <c r="C3" s="24"/>
      <c r="D3" s="24"/>
      <c r="E3" s="24"/>
      <c r="F3" s="24" t="s">
        <v>95</v>
      </c>
      <c r="G3" s="24" t="s">
        <v>96</v>
      </c>
      <c r="H3" s="24"/>
      <c r="I3" s="24" t="s">
        <v>97</v>
      </c>
      <c r="J3" s="24"/>
      <c r="K3" s="24"/>
      <c r="L3" s="24"/>
      <c r="M3" s="20"/>
    </row>
    <row r="4" ht="15" customHeight="1" spans="1:13" x14ac:dyDescent="0.25">
      <c r="A4" s="24"/>
      <c r="B4" s="24"/>
      <c r="C4" s="24"/>
      <c r="D4" s="24"/>
      <c r="E4" s="24"/>
      <c r="F4" s="24" t="s">
        <v>98</v>
      </c>
      <c r="G4" s="24"/>
      <c r="H4" s="24"/>
      <c r="I4" s="24"/>
      <c r="J4" s="24"/>
      <c r="K4" s="24"/>
      <c r="L4" s="24"/>
      <c r="M4" s="20"/>
    </row>
    <row r="5" ht="15" customHeight="1" spans="1:13" x14ac:dyDescent="0.25">
      <c r="A5" s="24"/>
      <c r="B5" s="24"/>
      <c r="C5" s="24"/>
      <c r="D5" s="24"/>
      <c r="E5" s="24"/>
      <c r="F5" s="24" t="s">
        <v>99</v>
      </c>
      <c r="G5" s="24"/>
      <c r="H5" s="24"/>
      <c r="I5" s="24"/>
      <c r="J5" s="24"/>
      <c r="K5" s="24"/>
      <c r="L5" s="24"/>
      <c r="M5" s="20"/>
    </row>
    <row r="6" spans="1:13" x14ac:dyDescent="0.25">
      <c r="A6" s="25"/>
      <c r="B6" s="25"/>
      <c r="C6" s="25"/>
      <c r="D6" s="25"/>
      <c r="E6" s="25"/>
      <c r="F6" s="26"/>
      <c r="G6" s="26"/>
      <c r="H6" s="26"/>
      <c r="I6" s="26"/>
      <c r="J6" s="26"/>
      <c r="K6" s="26"/>
      <c r="L6" s="26"/>
      <c r="M6" s="21"/>
    </row>
    <row r="7" ht="30" customHeight="1" spans="1:13" x14ac:dyDescent="0.25">
      <c r="A7" s="24" t="s">
        <v>100</v>
      </c>
      <c r="B7" s="24" t="s">
        <v>89</v>
      </c>
      <c r="C7" s="24" t="s">
        <v>90</v>
      </c>
      <c r="D7" s="24" t="s">
        <v>101</v>
      </c>
      <c r="E7" s="24" t="s">
        <v>92</v>
      </c>
      <c r="F7" s="24" t="s">
        <v>93</v>
      </c>
      <c r="G7" s="24" t="s">
        <v>102</v>
      </c>
      <c r="H7" s="24"/>
      <c r="I7" s="24"/>
      <c r="J7" s="24"/>
      <c r="K7" s="24" t="s">
        <v>65</v>
      </c>
      <c r="L7" s="24" t="s">
        <v>38</v>
      </c>
      <c r="M7" s="20" t="s">
        <v>53</v>
      </c>
    </row>
    <row r="8" ht="75" customHeight="1" spans="1:13" x14ac:dyDescent="0.25">
      <c r="A8" s="24"/>
      <c r="B8" s="24"/>
      <c r="C8" s="24"/>
      <c r="D8" s="24"/>
      <c r="E8" s="24"/>
      <c r="F8" s="24" t="s">
        <v>95</v>
      </c>
      <c r="G8" s="24" t="s">
        <v>96</v>
      </c>
      <c r="H8" s="24"/>
      <c r="I8" s="24" t="s">
        <v>103</v>
      </c>
      <c r="J8" s="24"/>
      <c r="K8" s="24"/>
      <c r="L8" s="24"/>
      <c r="M8" s="20"/>
    </row>
    <row r="9" ht="15" customHeight="1" spans="1:13" x14ac:dyDescent="0.25">
      <c r="A9" s="24"/>
      <c r="B9" s="24"/>
      <c r="C9" s="24"/>
      <c r="D9" s="24"/>
      <c r="E9" s="24"/>
      <c r="F9" s="24" t="s">
        <v>98</v>
      </c>
      <c r="G9" s="24"/>
      <c r="H9" s="24"/>
      <c r="I9" s="24"/>
      <c r="J9" s="24"/>
      <c r="K9" s="24"/>
      <c r="L9" s="24"/>
      <c r="M9" s="20"/>
    </row>
    <row r="10" ht="15" customHeight="1" spans="1:13" x14ac:dyDescent="0.25">
      <c r="A10" s="24"/>
      <c r="B10" s="24"/>
      <c r="C10" s="24"/>
      <c r="D10" s="24"/>
      <c r="E10" s="24"/>
      <c r="F10" s="24" t="s">
        <v>99</v>
      </c>
      <c r="G10" s="24"/>
      <c r="H10" s="24"/>
      <c r="I10" s="24"/>
      <c r="J10" s="24"/>
      <c r="K10" s="24"/>
      <c r="L10" s="24"/>
      <c r="M10" s="20"/>
    </row>
    <row r="11" spans="1:13" x14ac:dyDescent="0.25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1"/>
    </row>
    <row r="12" ht="30" customHeight="1" spans="1:13" x14ac:dyDescent="0.25">
      <c r="A12" s="24" t="s">
        <v>104</v>
      </c>
      <c r="B12" s="24" t="s">
        <v>89</v>
      </c>
      <c r="C12" s="24" t="s">
        <v>90</v>
      </c>
      <c r="D12" s="24" t="s">
        <v>105</v>
      </c>
      <c r="E12" s="24" t="s">
        <v>92</v>
      </c>
      <c r="F12" s="24" t="s">
        <v>93</v>
      </c>
      <c r="G12" s="24" t="s">
        <v>106</v>
      </c>
      <c r="H12" s="24"/>
      <c r="I12" s="24"/>
      <c r="J12" s="24"/>
      <c r="K12" s="24" t="s">
        <v>65</v>
      </c>
      <c r="L12" s="24" t="s">
        <v>38</v>
      </c>
      <c r="M12" s="20" t="s">
        <v>53</v>
      </c>
    </row>
    <row r="13" ht="30" customHeight="1" spans="1:13" x14ac:dyDescent="0.25">
      <c r="A13" s="24"/>
      <c r="B13" s="24"/>
      <c r="C13" s="24"/>
      <c r="D13" s="24"/>
      <c r="E13" s="24"/>
      <c r="F13" s="24" t="s">
        <v>95</v>
      </c>
      <c r="G13" s="24" t="s">
        <v>96</v>
      </c>
      <c r="H13" s="24"/>
      <c r="I13" s="24" t="s">
        <v>107</v>
      </c>
      <c r="J13" s="24"/>
      <c r="K13" s="24"/>
      <c r="L13" s="24"/>
      <c r="M13" s="20"/>
    </row>
    <row r="14" ht="15" customHeight="1" spans="1:13" x14ac:dyDescent="0.25">
      <c r="A14" s="24"/>
      <c r="B14" s="24"/>
      <c r="C14" s="24"/>
      <c r="D14" s="24"/>
      <c r="E14" s="24"/>
      <c r="F14" s="24" t="s">
        <v>98</v>
      </c>
      <c r="G14" s="24"/>
      <c r="H14" s="24"/>
      <c r="I14" s="24"/>
      <c r="J14" s="24"/>
      <c r="K14" s="24"/>
      <c r="L14" s="24"/>
      <c r="M14" s="20"/>
    </row>
    <row r="15" ht="15" customHeight="1" spans="1:13" x14ac:dyDescent="0.25">
      <c r="A15" s="24"/>
      <c r="B15" s="24"/>
      <c r="C15" s="24"/>
      <c r="D15" s="24"/>
      <c r="E15" s="24"/>
      <c r="F15" s="24" t="s">
        <v>99</v>
      </c>
      <c r="G15" s="24"/>
      <c r="H15" s="24"/>
      <c r="I15" s="24"/>
      <c r="J15" s="24"/>
      <c r="K15" s="24"/>
      <c r="L15" s="24"/>
      <c r="M15" s="20"/>
    </row>
    <row r="16" spans="1:13" x14ac:dyDescent="0.25">
      <c r="A16" s="25"/>
      <c r="B16" s="25"/>
      <c r="C16" s="25"/>
      <c r="D16" s="25"/>
      <c r="E16" s="25"/>
      <c r="F16" s="26"/>
      <c r="G16" s="26"/>
      <c r="H16" s="26"/>
      <c r="I16" s="26"/>
      <c r="J16" s="26"/>
      <c r="K16" s="26"/>
      <c r="L16" s="26"/>
      <c r="M16" s="21"/>
    </row>
    <row r="17" ht="15" customHeight="1" spans="1:13" x14ac:dyDescent="0.25">
      <c r="A17" s="24" t="s">
        <v>108</v>
      </c>
      <c r="B17" s="24" t="s">
        <v>89</v>
      </c>
      <c r="C17" s="24" t="s">
        <v>90</v>
      </c>
      <c r="D17" s="24" t="s">
        <v>109</v>
      </c>
      <c r="E17" s="24" t="s">
        <v>92</v>
      </c>
      <c r="F17" s="24" t="s">
        <v>93</v>
      </c>
      <c r="G17" s="24" t="s">
        <v>110</v>
      </c>
      <c r="H17" s="24"/>
      <c r="I17" s="24"/>
      <c r="J17" s="24"/>
      <c r="K17" s="24" t="s">
        <v>65</v>
      </c>
      <c r="L17" s="24" t="s">
        <v>38</v>
      </c>
      <c r="M17" s="20" t="s">
        <v>61</v>
      </c>
    </row>
    <row r="18" ht="30" customHeight="1" spans="1:13" x14ac:dyDescent="0.25">
      <c r="A18" s="24"/>
      <c r="B18" s="24"/>
      <c r="C18" s="24"/>
      <c r="D18" s="24"/>
      <c r="E18" s="24"/>
      <c r="F18" s="24" t="s">
        <v>95</v>
      </c>
      <c r="G18" s="24" t="s">
        <v>96</v>
      </c>
      <c r="H18" s="24"/>
      <c r="I18" s="24" t="s">
        <v>111</v>
      </c>
      <c r="J18" s="24"/>
      <c r="K18" s="24"/>
      <c r="L18" s="24"/>
      <c r="M18" s="20"/>
    </row>
    <row r="19" ht="15" customHeight="1" spans="1:13" x14ac:dyDescent="0.25">
      <c r="A19" s="24"/>
      <c r="B19" s="24"/>
      <c r="C19" s="24"/>
      <c r="D19" s="24"/>
      <c r="E19" s="24"/>
      <c r="F19" s="24" t="s">
        <v>98</v>
      </c>
      <c r="G19" s="24"/>
      <c r="H19" s="24"/>
      <c r="I19" s="24"/>
      <c r="J19" s="24"/>
      <c r="K19" s="24"/>
      <c r="L19" s="24"/>
      <c r="M19" s="20"/>
    </row>
    <row r="20" ht="15" customHeight="1" spans="1:13" x14ac:dyDescent="0.25">
      <c r="A20" s="24"/>
      <c r="B20" s="24"/>
      <c r="C20" s="24"/>
      <c r="D20" s="24"/>
      <c r="E20" s="24"/>
      <c r="F20" s="24" t="s">
        <v>99</v>
      </c>
      <c r="G20" s="24"/>
      <c r="H20" s="24"/>
      <c r="I20" s="24"/>
      <c r="J20" s="24"/>
      <c r="K20" s="24"/>
      <c r="L20" s="24"/>
      <c r="M20" s="20"/>
    </row>
    <row r="21" spans="1:13" x14ac:dyDescent="0.25">
      <c r="A21" s="25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M21" s="21"/>
    </row>
    <row r="22" ht="30" customHeight="1" spans="1:13" x14ac:dyDescent="0.25">
      <c r="A22" s="24" t="s">
        <v>112</v>
      </c>
      <c r="B22" s="24" t="s">
        <v>89</v>
      </c>
      <c r="C22" s="24" t="s">
        <v>90</v>
      </c>
      <c r="D22" s="24" t="s">
        <v>113</v>
      </c>
      <c r="E22" s="24" t="s">
        <v>92</v>
      </c>
      <c r="F22" s="24" t="s">
        <v>93</v>
      </c>
      <c r="G22" s="24" t="s">
        <v>114</v>
      </c>
      <c r="H22" s="24"/>
      <c r="I22" s="24"/>
      <c r="J22" s="24"/>
      <c r="K22" s="24" t="s">
        <v>65</v>
      </c>
      <c r="L22" s="24" t="s">
        <v>38</v>
      </c>
      <c r="M22" s="20" t="s">
        <v>61</v>
      </c>
    </row>
    <row r="23" ht="30" customHeight="1" spans="1:13" x14ac:dyDescent="0.25">
      <c r="A23" s="24"/>
      <c r="B23" s="24"/>
      <c r="C23" s="24"/>
      <c r="D23" s="24"/>
      <c r="E23" s="24"/>
      <c r="F23" s="24" t="s">
        <v>95</v>
      </c>
      <c r="G23" s="24" t="s">
        <v>96</v>
      </c>
      <c r="H23" s="24"/>
      <c r="I23" s="24" t="s">
        <v>115</v>
      </c>
      <c r="J23" s="24"/>
      <c r="K23" s="24"/>
      <c r="L23" s="24"/>
      <c r="M23" s="20"/>
    </row>
    <row r="24" ht="15" customHeight="1" spans="1:13" x14ac:dyDescent="0.25">
      <c r="A24" s="24"/>
      <c r="B24" s="24"/>
      <c r="C24" s="24"/>
      <c r="D24" s="24"/>
      <c r="E24" s="24"/>
      <c r="F24" s="24" t="s">
        <v>98</v>
      </c>
      <c r="G24" s="24"/>
      <c r="H24" s="24"/>
      <c r="I24" s="24"/>
      <c r="J24" s="24"/>
      <c r="K24" s="24"/>
      <c r="L24" s="24"/>
      <c r="M24" s="20"/>
    </row>
    <row r="25" ht="15" customHeight="1" spans="1:13" x14ac:dyDescent="0.25">
      <c r="A25" s="24"/>
      <c r="B25" s="24"/>
      <c r="C25" s="24"/>
      <c r="D25" s="24"/>
      <c r="E25" s="24"/>
      <c r="F25" s="24" t="s">
        <v>99</v>
      </c>
      <c r="G25" s="24"/>
      <c r="H25" s="24"/>
      <c r="I25" s="24"/>
      <c r="J25" s="24"/>
      <c r="K25" s="24"/>
      <c r="L25" s="24"/>
      <c r="M25" s="20"/>
    </row>
    <row r="26" spans="1:13" x14ac:dyDescent="0.25">
      <c r="A26" s="25"/>
      <c r="B26" s="25"/>
      <c r="C26" s="25"/>
      <c r="D26" s="25"/>
      <c r="E26" s="25"/>
      <c r="F26" s="26"/>
      <c r="G26" s="26"/>
      <c r="H26" s="26"/>
      <c r="I26" s="26"/>
      <c r="J26" s="26"/>
      <c r="K26" s="26"/>
      <c r="L26" s="26"/>
      <c r="M26" s="21"/>
    </row>
    <row r="27" ht="15" customHeight="1" spans="1:13" x14ac:dyDescent="0.25">
      <c r="A27" s="24" t="s">
        <v>116</v>
      </c>
      <c r="B27" s="24" t="s">
        <v>117</v>
      </c>
      <c r="C27" s="24" t="s">
        <v>118</v>
      </c>
      <c r="D27" s="24" t="s">
        <v>119</v>
      </c>
      <c r="E27" s="24" t="s">
        <v>120</v>
      </c>
      <c r="F27" s="24" t="s">
        <v>93</v>
      </c>
      <c r="G27" s="24" t="s">
        <v>121</v>
      </c>
      <c r="H27" s="24"/>
      <c r="I27" s="24"/>
      <c r="J27" s="24"/>
      <c r="K27" s="24" t="s">
        <v>66</v>
      </c>
      <c r="L27" s="24" t="s">
        <v>38</v>
      </c>
      <c r="M27" s="20" t="s">
        <v>58</v>
      </c>
    </row>
    <row r="28" ht="75" customHeight="1" spans="1:13" x14ac:dyDescent="0.25">
      <c r="A28" s="24"/>
      <c r="B28" s="24"/>
      <c r="C28" s="24"/>
      <c r="D28" s="24"/>
      <c r="E28" s="24"/>
      <c r="F28" s="24" t="s">
        <v>95</v>
      </c>
      <c r="G28" s="24" t="s">
        <v>122</v>
      </c>
      <c r="H28" s="24"/>
      <c r="I28" s="24" t="s">
        <v>123</v>
      </c>
      <c r="J28" s="24"/>
      <c r="K28" s="24"/>
      <c r="L28" s="24"/>
      <c r="M28" s="20"/>
    </row>
    <row r="29" ht="15" customHeight="1" spans="1:13" x14ac:dyDescent="0.25">
      <c r="A29" s="24"/>
      <c r="B29" s="24"/>
      <c r="C29" s="24"/>
      <c r="D29" s="24"/>
      <c r="E29" s="24"/>
      <c r="F29" s="24" t="s">
        <v>98</v>
      </c>
      <c r="G29" s="24"/>
      <c r="H29" s="24"/>
      <c r="I29" s="24"/>
      <c r="J29" s="24"/>
      <c r="K29" s="24"/>
      <c r="L29" s="24"/>
      <c r="M29" s="20"/>
    </row>
    <row r="30" ht="15" customHeight="1" spans="1:13" x14ac:dyDescent="0.25">
      <c r="A30" s="24"/>
      <c r="B30" s="24"/>
      <c r="C30" s="24"/>
      <c r="D30" s="24"/>
      <c r="E30" s="24"/>
      <c r="F30" s="24" t="s">
        <v>99</v>
      </c>
      <c r="G30" s="24"/>
      <c r="H30" s="24"/>
      <c r="I30" s="24"/>
      <c r="J30" s="24"/>
      <c r="K30" s="24"/>
      <c r="L30" s="24"/>
      <c r="M30" s="20"/>
    </row>
    <row r="31" spans="1:13" x14ac:dyDescent="0.25">
      <c r="A31" s="25"/>
      <c r="B31" s="25"/>
      <c r="C31" s="25"/>
      <c r="D31" s="25"/>
      <c r="E31" s="25"/>
      <c r="F31" s="26"/>
      <c r="G31" s="26"/>
      <c r="H31" s="26"/>
      <c r="I31" s="26"/>
      <c r="J31" s="26"/>
      <c r="K31" s="26"/>
      <c r="L31" s="26"/>
      <c r="M31" s="21"/>
    </row>
    <row r="32" ht="60" customHeight="1" spans="1:13" x14ac:dyDescent="0.25">
      <c r="A32" s="24" t="s">
        <v>124</v>
      </c>
      <c r="B32" s="24" t="s">
        <v>125</v>
      </c>
      <c r="C32" s="24" t="s">
        <v>126</v>
      </c>
      <c r="D32" s="24" t="s">
        <v>127</v>
      </c>
      <c r="E32" s="24" t="s">
        <v>120</v>
      </c>
      <c r="F32" s="24" t="s">
        <v>93</v>
      </c>
      <c r="G32" s="24" t="s">
        <v>128</v>
      </c>
      <c r="H32" s="24"/>
      <c r="I32" s="24" t="s">
        <v>129</v>
      </c>
      <c r="J32" s="24"/>
      <c r="K32" s="24" t="s">
        <v>66</v>
      </c>
      <c r="L32" s="24" t="s">
        <v>38</v>
      </c>
      <c r="M32" s="20" t="s">
        <v>44</v>
      </c>
    </row>
    <row r="33" ht="15" customHeight="1" spans="1:13" x14ac:dyDescent="0.25">
      <c r="A33" s="24"/>
      <c r="B33" s="24"/>
      <c r="C33" s="24"/>
      <c r="D33" s="24"/>
      <c r="E33" s="24"/>
      <c r="F33" s="24" t="s">
        <v>95</v>
      </c>
      <c r="G33" s="24"/>
      <c r="H33" s="24"/>
      <c r="I33" s="24"/>
      <c r="J33" s="24"/>
      <c r="K33" s="24"/>
      <c r="L33" s="24"/>
      <c r="M33" s="20"/>
    </row>
    <row r="34" ht="15" customHeight="1" spans="1:13" x14ac:dyDescent="0.25">
      <c r="A34" s="24"/>
      <c r="B34" s="24"/>
      <c r="C34" s="24"/>
      <c r="D34" s="24"/>
      <c r="E34" s="24"/>
      <c r="F34" s="24" t="s">
        <v>98</v>
      </c>
      <c r="G34" s="24"/>
      <c r="H34" s="24"/>
      <c r="I34" s="24"/>
      <c r="J34" s="24"/>
      <c r="K34" s="24"/>
      <c r="L34" s="24"/>
      <c r="M34" s="20"/>
    </row>
    <row r="35" ht="15" customHeight="1" spans="1:13" x14ac:dyDescent="0.25">
      <c r="A35" s="24"/>
      <c r="B35" s="24"/>
      <c r="C35" s="24"/>
      <c r="D35" s="24"/>
      <c r="E35" s="24"/>
      <c r="F35" s="24" t="s">
        <v>99</v>
      </c>
      <c r="G35" s="24"/>
      <c r="H35" s="24"/>
      <c r="I35" s="24"/>
      <c r="J35" s="24"/>
      <c r="K35" s="24"/>
      <c r="L35" s="24"/>
      <c r="M35" s="20"/>
    </row>
    <row r="36" spans="1:13" x14ac:dyDescent="0.25">
      <c r="A36" s="25"/>
      <c r="B36" s="25"/>
      <c r="C36" s="25"/>
      <c r="D36" s="25"/>
      <c r="E36" s="25"/>
      <c r="F36" s="26"/>
      <c r="G36" s="26"/>
      <c r="H36" s="26"/>
      <c r="I36" s="26"/>
      <c r="J36" s="26"/>
      <c r="K36" s="26"/>
      <c r="L36" s="26"/>
      <c r="M36" s="21"/>
    </row>
    <row r="37" ht="15" customHeight="1" spans="1:13" x14ac:dyDescent="0.25">
      <c r="A37" s="24" t="s">
        <v>130</v>
      </c>
      <c r="B37" s="24" t="s">
        <v>131</v>
      </c>
      <c r="C37" s="24" t="s">
        <v>132</v>
      </c>
      <c r="D37" s="24" t="s">
        <v>133</v>
      </c>
      <c r="E37" s="24" t="s">
        <v>120</v>
      </c>
      <c r="F37" s="24" t="s">
        <v>93</v>
      </c>
      <c r="G37" s="24" t="s">
        <v>134</v>
      </c>
      <c r="H37" s="24"/>
      <c r="I37" s="24"/>
      <c r="J37" s="24"/>
      <c r="K37" s="24" t="s">
        <v>66</v>
      </c>
      <c r="L37" s="24" t="s">
        <v>38</v>
      </c>
      <c r="M37" s="20" t="s">
        <v>50</v>
      </c>
    </row>
    <row r="38" ht="60" customHeight="1" spans="1:13" x14ac:dyDescent="0.25">
      <c r="A38" s="24"/>
      <c r="B38" s="24"/>
      <c r="C38" s="24"/>
      <c r="D38" s="24"/>
      <c r="E38" s="24"/>
      <c r="F38" s="24" t="s">
        <v>95</v>
      </c>
      <c r="G38" s="24" t="s">
        <v>135</v>
      </c>
      <c r="H38" s="24"/>
      <c r="I38" s="24" t="s">
        <v>136</v>
      </c>
      <c r="J38" s="24"/>
      <c r="K38" s="24"/>
      <c r="L38" s="24"/>
      <c r="M38" s="20"/>
    </row>
    <row r="39" ht="15" customHeight="1" spans="1:13" x14ac:dyDescent="0.25">
      <c r="A39" s="24"/>
      <c r="B39" s="24"/>
      <c r="C39" s="24"/>
      <c r="D39" s="24"/>
      <c r="E39" s="24"/>
      <c r="F39" s="24" t="s">
        <v>98</v>
      </c>
      <c r="G39" s="24"/>
      <c r="H39" s="24"/>
      <c r="I39" s="24"/>
      <c r="J39" s="24"/>
      <c r="K39" s="24"/>
      <c r="L39" s="24"/>
      <c r="M39" s="20"/>
    </row>
    <row r="40" ht="15" customHeight="1" spans="1:13" x14ac:dyDescent="0.25">
      <c r="A40" s="24"/>
      <c r="B40" s="24"/>
      <c r="C40" s="24"/>
      <c r="D40" s="24"/>
      <c r="E40" s="24"/>
      <c r="F40" s="24" t="s">
        <v>99</v>
      </c>
      <c r="G40" s="24"/>
      <c r="H40" s="24"/>
      <c r="I40" s="24"/>
      <c r="J40" s="24"/>
      <c r="K40" s="24"/>
      <c r="L40" s="24"/>
      <c r="M40" s="20"/>
    </row>
    <row r="41" spans="1:13" x14ac:dyDescent="0.25">
      <c r="A41" s="25"/>
      <c r="B41" s="25"/>
      <c r="C41" s="25"/>
      <c r="D41" s="25"/>
      <c r="E41" s="25"/>
      <c r="F41" s="26"/>
      <c r="G41" s="26"/>
      <c r="H41" s="26"/>
      <c r="I41" s="26"/>
      <c r="J41" s="26"/>
      <c r="K41" s="26"/>
      <c r="L41" s="26"/>
      <c r="M41" s="21"/>
    </row>
    <row r="42" ht="15" customHeight="1" spans="1:13" x14ac:dyDescent="0.25">
      <c r="A42" s="24" t="s">
        <v>137</v>
      </c>
      <c r="B42" s="24" t="s">
        <v>131</v>
      </c>
      <c r="C42" s="24" t="s">
        <v>132</v>
      </c>
      <c r="D42" s="24" t="s">
        <v>138</v>
      </c>
      <c r="E42" s="24" t="s">
        <v>120</v>
      </c>
      <c r="F42" s="24" t="s">
        <v>93</v>
      </c>
      <c r="G42" s="24" t="s">
        <v>139</v>
      </c>
      <c r="H42" s="24"/>
      <c r="I42" s="24"/>
      <c r="J42" s="24"/>
      <c r="K42" s="24" t="s">
        <v>66</v>
      </c>
      <c r="L42" s="24" t="s">
        <v>38</v>
      </c>
      <c r="M42" s="20" t="s">
        <v>50</v>
      </c>
    </row>
    <row r="43" ht="60" customHeight="1" spans="1:13" x14ac:dyDescent="0.25">
      <c r="A43" s="24"/>
      <c r="B43" s="24"/>
      <c r="C43" s="24"/>
      <c r="D43" s="24"/>
      <c r="E43" s="24"/>
      <c r="F43" s="24" t="s">
        <v>95</v>
      </c>
      <c r="G43" s="24" t="s">
        <v>140</v>
      </c>
      <c r="H43" s="24"/>
      <c r="I43" s="24" t="s">
        <v>141</v>
      </c>
      <c r="J43" s="24"/>
      <c r="K43" s="24"/>
      <c r="L43" s="24"/>
      <c r="M43" s="20"/>
    </row>
    <row r="44" ht="15" customHeight="1" spans="1:13" x14ac:dyDescent="0.25">
      <c r="A44" s="24"/>
      <c r="B44" s="24"/>
      <c r="C44" s="24"/>
      <c r="D44" s="24"/>
      <c r="E44" s="24"/>
      <c r="F44" s="24" t="s">
        <v>98</v>
      </c>
      <c r="G44" s="24"/>
      <c r="H44" s="24"/>
      <c r="I44" s="24"/>
      <c r="J44" s="24"/>
      <c r="K44" s="24"/>
      <c r="L44" s="24"/>
      <c r="M44" s="20"/>
    </row>
    <row r="45" ht="15" customHeight="1" spans="1:13" x14ac:dyDescent="0.25">
      <c r="A45" s="24"/>
      <c r="B45" s="24"/>
      <c r="C45" s="24"/>
      <c r="D45" s="24"/>
      <c r="E45" s="24"/>
      <c r="F45" s="24" t="s">
        <v>99</v>
      </c>
      <c r="G45" s="24"/>
      <c r="H45" s="24"/>
      <c r="I45" s="24"/>
      <c r="J45" s="24"/>
      <c r="K45" s="24"/>
      <c r="L45" s="24"/>
      <c r="M45" s="20"/>
    </row>
    <row r="46" spans="1:13" x14ac:dyDescent="0.25">
      <c r="A46" s="25"/>
      <c r="B46" s="25"/>
      <c r="C46" s="25"/>
      <c r="D46" s="25"/>
      <c r="E46" s="25"/>
      <c r="F46" s="26"/>
      <c r="G46" s="26"/>
      <c r="H46" s="26"/>
      <c r="I46" s="26"/>
      <c r="J46" s="26"/>
      <c r="K46" s="26"/>
      <c r="L46" s="26"/>
      <c r="M46" s="21"/>
    </row>
    <row r="47" ht="60" customHeight="1" spans="1:13" x14ac:dyDescent="0.25">
      <c r="A47" s="24" t="s">
        <v>142</v>
      </c>
      <c r="B47" s="24" t="s">
        <v>143</v>
      </c>
      <c r="C47" s="24" t="s">
        <v>144</v>
      </c>
      <c r="D47" s="24" t="s">
        <v>145</v>
      </c>
      <c r="E47" s="24" t="s">
        <v>120</v>
      </c>
      <c r="F47" s="24" t="s">
        <v>93</v>
      </c>
      <c r="G47" s="24" t="s">
        <v>146</v>
      </c>
      <c r="H47" s="24"/>
      <c r="I47" s="24" t="s">
        <v>147</v>
      </c>
      <c r="J47" s="24"/>
      <c r="K47" s="24" t="s">
        <v>66</v>
      </c>
      <c r="L47" s="24" t="s">
        <v>38</v>
      </c>
      <c r="M47" s="20" t="s">
        <v>50</v>
      </c>
    </row>
    <row r="48" ht="15" customHeight="1" spans="1:13" x14ac:dyDescent="0.25">
      <c r="A48" s="24"/>
      <c r="B48" s="24"/>
      <c r="C48" s="24"/>
      <c r="D48" s="24"/>
      <c r="E48" s="24"/>
      <c r="F48" s="24" t="s">
        <v>95</v>
      </c>
      <c r="G48" s="24"/>
      <c r="H48" s="24"/>
      <c r="I48" s="24"/>
      <c r="J48" s="24"/>
      <c r="K48" s="24"/>
      <c r="L48" s="24"/>
      <c r="M48" s="20"/>
    </row>
    <row r="49" ht="15" customHeight="1" spans="1:13" x14ac:dyDescent="0.25">
      <c r="A49" s="24"/>
      <c r="B49" s="24"/>
      <c r="C49" s="24"/>
      <c r="D49" s="24"/>
      <c r="E49" s="24"/>
      <c r="F49" s="24" t="s">
        <v>98</v>
      </c>
      <c r="G49" s="24"/>
      <c r="H49" s="24"/>
      <c r="I49" s="24"/>
      <c r="J49" s="24"/>
      <c r="K49" s="24"/>
      <c r="L49" s="24"/>
      <c r="M49" s="20"/>
    </row>
    <row r="50" ht="15" customHeight="1" spans="1:13" x14ac:dyDescent="0.25">
      <c r="A50" s="24"/>
      <c r="B50" s="24"/>
      <c r="C50" s="24"/>
      <c r="D50" s="24"/>
      <c r="E50" s="24"/>
      <c r="F50" s="24" t="s">
        <v>99</v>
      </c>
      <c r="G50" s="24"/>
      <c r="H50" s="24"/>
      <c r="I50" s="24"/>
      <c r="J50" s="24"/>
      <c r="K50" s="24"/>
      <c r="L50" s="24"/>
      <c r="M50" s="20"/>
    </row>
    <row r="51" spans="1:13" x14ac:dyDescent="0.25">
      <c r="A51" s="25"/>
      <c r="B51" s="25"/>
      <c r="C51" s="25"/>
      <c r="D51" s="25"/>
      <c r="E51" s="25"/>
      <c r="F51" s="26"/>
      <c r="G51" s="26"/>
      <c r="H51" s="26"/>
      <c r="I51" s="26"/>
      <c r="J51" s="26"/>
      <c r="K51" s="26"/>
      <c r="L51" s="26"/>
      <c r="M51" s="21"/>
    </row>
    <row r="52" ht="15" customHeight="1" spans="1:13" x14ac:dyDescent="0.25">
      <c r="A52" s="24" t="s">
        <v>148</v>
      </c>
      <c r="B52" s="24" t="s">
        <v>143</v>
      </c>
      <c r="C52" s="24" t="s">
        <v>144</v>
      </c>
      <c r="D52" s="24" t="s">
        <v>149</v>
      </c>
      <c r="E52" s="24" t="s">
        <v>150</v>
      </c>
      <c r="F52" s="24" t="s">
        <v>93</v>
      </c>
      <c r="G52" s="24" t="s">
        <v>151</v>
      </c>
      <c r="H52" s="24"/>
      <c r="I52" s="24"/>
      <c r="J52" s="24"/>
      <c r="K52" s="24" t="s">
        <v>66</v>
      </c>
      <c r="L52" s="24" t="s">
        <v>38</v>
      </c>
      <c r="M52" s="20" t="s">
        <v>50</v>
      </c>
    </row>
    <row r="53" ht="60" customHeight="1" spans="1:13" x14ac:dyDescent="0.25">
      <c r="A53" s="24"/>
      <c r="B53" s="24"/>
      <c r="C53" s="24"/>
      <c r="D53" s="24"/>
      <c r="E53" s="24"/>
      <c r="F53" s="24" t="s">
        <v>95</v>
      </c>
      <c r="G53" s="24" t="s">
        <v>152</v>
      </c>
      <c r="H53" s="24"/>
      <c r="I53" s="24" t="s">
        <v>153</v>
      </c>
      <c r="J53" s="24"/>
      <c r="K53" s="24"/>
      <c r="L53" s="24"/>
      <c r="M53" s="20"/>
    </row>
    <row r="54" ht="15" customHeight="1" spans="1:13" x14ac:dyDescent="0.25">
      <c r="A54" s="24"/>
      <c r="B54" s="24"/>
      <c r="C54" s="24"/>
      <c r="D54" s="24"/>
      <c r="E54" s="24"/>
      <c r="F54" s="24" t="s">
        <v>98</v>
      </c>
      <c r="G54" s="24"/>
      <c r="H54" s="24"/>
      <c r="I54" s="24"/>
      <c r="J54" s="24"/>
      <c r="K54" s="24"/>
      <c r="L54" s="24"/>
      <c r="M54" s="20"/>
    </row>
    <row r="55" ht="15" customHeight="1" spans="1:13" x14ac:dyDescent="0.25">
      <c r="A55" s="24"/>
      <c r="B55" s="24"/>
      <c r="C55" s="24"/>
      <c r="D55" s="24"/>
      <c r="E55" s="24"/>
      <c r="F55" s="24" t="s">
        <v>99</v>
      </c>
      <c r="G55" s="24"/>
      <c r="H55" s="24"/>
      <c r="I55" s="24"/>
      <c r="J55" s="24"/>
      <c r="K55" s="24"/>
      <c r="L55" s="24"/>
      <c r="M55" s="20"/>
    </row>
    <row r="56" spans="1:13" x14ac:dyDescent="0.25">
      <c r="A56" s="25"/>
      <c r="B56" s="25"/>
      <c r="C56" s="25"/>
      <c r="D56" s="25"/>
      <c r="E56" s="25"/>
      <c r="F56" s="26"/>
      <c r="G56" s="26"/>
      <c r="H56" s="26"/>
      <c r="I56" s="26"/>
      <c r="J56" s="26"/>
      <c r="K56" s="26"/>
      <c r="L56" s="26"/>
      <c r="M56" s="21"/>
    </row>
    <row r="57" ht="30" customHeight="1" spans="1:13" x14ac:dyDescent="0.25">
      <c r="A57" s="24" t="s">
        <v>154</v>
      </c>
      <c r="B57" s="24" t="s">
        <v>143</v>
      </c>
      <c r="C57" s="24" t="s">
        <v>144</v>
      </c>
      <c r="D57" s="24" t="s">
        <v>155</v>
      </c>
      <c r="E57" s="24" t="s">
        <v>150</v>
      </c>
      <c r="F57" s="24" t="s">
        <v>93</v>
      </c>
      <c r="G57" s="24" t="s">
        <v>156</v>
      </c>
      <c r="H57" s="24"/>
      <c r="I57" s="24" t="s">
        <v>157</v>
      </c>
      <c r="J57" s="24"/>
      <c r="K57" s="24" t="s">
        <v>66</v>
      </c>
      <c r="L57" s="24" t="s">
        <v>38</v>
      </c>
      <c r="M57" s="20" t="s">
        <v>58</v>
      </c>
    </row>
    <row r="58" ht="15" customHeight="1" spans="1:13" x14ac:dyDescent="0.25">
      <c r="A58" s="24"/>
      <c r="B58" s="24"/>
      <c r="C58" s="24"/>
      <c r="D58" s="24"/>
      <c r="E58" s="24"/>
      <c r="F58" s="24" t="s">
        <v>95</v>
      </c>
      <c r="G58" s="24"/>
      <c r="H58" s="24"/>
      <c r="I58" s="24"/>
      <c r="J58" s="24"/>
      <c r="K58" s="24"/>
      <c r="L58" s="24"/>
      <c r="M58" s="20"/>
    </row>
    <row r="59" ht="15" customHeight="1" spans="1:13" x14ac:dyDescent="0.25">
      <c r="A59" s="24"/>
      <c r="B59" s="24"/>
      <c r="C59" s="24"/>
      <c r="D59" s="24"/>
      <c r="E59" s="24"/>
      <c r="F59" s="24" t="s">
        <v>98</v>
      </c>
      <c r="G59" s="24"/>
      <c r="H59" s="24"/>
      <c r="I59" s="24"/>
      <c r="J59" s="24"/>
      <c r="K59" s="24"/>
      <c r="L59" s="24"/>
      <c r="M59" s="20"/>
    </row>
    <row r="60" ht="15" customHeight="1" spans="1:13" x14ac:dyDescent="0.25">
      <c r="A60" s="24"/>
      <c r="B60" s="24"/>
      <c r="C60" s="24"/>
      <c r="D60" s="24"/>
      <c r="E60" s="24"/>
      <c r="F60" s="24" t="s">
        <v>99</v>
      </c>
      <c r="G60" s="24"/>
      <c r="H60" s="24"/>
      <c r="I60" s="24"/>
      <c r="J60" s="24"/>
      <c r="K60" s="24"/>
      <c r="L60" s="24"/>
      <c r="M60" s="20"/>
    </row>
    <row r="61" spans="1:13" x14ac:dyDescent="0.25">
      <c r="A61" s="25"/>
      <c r="B61" s="25"/>
      <c r="C61" s="25"/>
      <c r="D61" s="25"/>
      <c r="E61" s="25"/>
      <c r="F61" s="26"/>
      <c r="G61" s="26"/>
      <c r="H61" s="26"/>
      <c r="I61" s="26"/>
      <c r="J61" s="26"/>
      <c r="K61" s="26"/>
      <c r="L61" s="26"/>
      <c r="M61" s="21"/>
    </row>
    <row r="62" ht="15" customHeight="1" spans="1:13" x14ac:dyDescent="0.25">
      <c r="A62" s="24" t="s">
        <v>158</v>
      </c>
      <c r="B62" s="24" t="s">
        <v>159</v>
      </c>
      <c r="C62" s="24" t="s">
        <v>160</v>
      </c>
      <c r="D62" s="24" t="s">
        <v>161</v>
      </c>
      <c r="E62" s="24" t="s">
        <v>150</v>
      </c>
      <c r="F62" s="24" t="s">
        <v>93</v>
      </c>
      <c r="G62" s="24" t="s">
        <v>162</v>
      </c>
      <c r="H62" s="24"/>
      <c r="I62" s="24"/>
      <c r="J62" s="24"/>
      <c r="K62" s="24" t="s">
        <v>65</v>
      </c>
      <c r="L62" s="24" t="s">
        <v>38</v>
      </c>
      <c r="M62" s="20" t="s">
        <v>61</v>
      </c>
    </row>
    <row r="63" ht="15" customHeight="1" spans="1:13" x14ac:dyDescent="0.25">
      <c r="A63" s="24"/>
      <c r="B63" s="24"/>
      <c r="C63" s="24"/>
      <c r="D63" s="24"/>
      <c r="E63" s="24"/>
      <c r="F63" s="24" t="s">
        <v>95</v>
      </c>
      <c r="G63" s="24" t="s">
        <v>163</v>
      </c>
      <c r="H63" s="24"/>
      <c r="I63" s="24"/>
      <c r="J63" s="24"/>
      <c r="K63" s="24"/>
      <c r="L63" s="24"/>
      <c r="M63" s="20"/>
    </row>
    <row r="64" ht="90" customHeight="1" spans="1:13" x14ac:dyDescent="0.25">
      <c r="A64" s="24"/>
      <c r="B64" s="24"/>
      <c r="C64" s="24"/>
      <c r="D64" s="24"/>
      <c r="E64" s="24"/>
      <c r="F64" s="24" t="s">
        <v>98</v>
      </c>
      <c r="G64" s="24" t="s">
        <v>164</v>
      </c>
      <c r="H64" s="24"/>
      <c r="I64" s="24" t="s">
        <v>165</v>
      </c>
      <c r="J64" s="24"/>
      <c r="K64" s="24"/>
      <c r="L64" s="24"/>
      <c r="M64" s="20"/>
    </row>
    <row r="65" ht="15" customHeight="1" spans="1:13" x14ac:dyDescent="0.25">
      <c r="A65" s="24"/>
      <c r="B65" s="24"/>
      <c r="C65" s="24"/>
      <c r="D65" s="24"/>
      <c r="E65" s="24"/>
      <c r="F65" s="24" t="s">
        <v>99</v>
      </c>
      <c r="G65" s="24"/>
      <c r="H65" s="24"/>
      <c r="I65" s="24"/>
      <c r="J65" s="24"/>
      <c r="K65" s="24"/>
      <c r="L65" s="24"/>
      <c r="M65" s="20"/>
    </row>
    <row r="66" spans="1:13" x14ac:dyDescent="0.25">
      <c r="A66" s="25"/>
      <c r="B66" s="25"/>
      <c r="C66" s="25"/>
      <c r="D66" s="25"/>
      <c r="E66" s="25"/>
      <c r="F66" s="26"/>
      <c r="G66" s="26"/>
      <c r="H66" s="26"/>
      <c r="I66" s="26"/>
      <c r="J66" s="26"/>
      <c r="K66" s="26"/>
      <c r="L66" s="26"/>
      <c r="M66" s="21"/>
    </row>
    <row r="67" ht="15" customHeight="1" spans="1:13" x14ac:dyDescent="0.25">
      <c r="A67" s="24" t="s">
        <v>166</v>
      </c>
      <c r="B67" s="24" t="s">
        <v>167</v>
      </c>
      <c r="C67" s="24" t="s">
        <v>168</v>
      </c>
      <c r="D67" s="24" t="s">
        <v>169</v>
      </c>
      <c r="E67" s="24" t="s">
        <v>150</v>
      </c>
      <c r="F67" s="24" t="s">
        <v>93</v>
      </c>
      <c r="G67" s="24" t="s">
        <v>162</v>
      </c>
      <c r="H67" s="24"/>
      <c r="I67" s="24"/>
      <c r="J67" s="24"/>
      <c r="K67" s="24" t="s">
        <v>64</v>
      </c>
      <c r="L67" s="24" t="s">
        <v>38</v>
      </c>
      <c r="M67" s="20" t="s">
        <v>47</v>
      </c>
    </row>
    <row r="68" ht="30" customHeight="1" spans="1:13" x14ac:dyDescent="0.25">
      <c r="A68" s="24"/>
      <c r="B68" s="24"/>
      <c r="C68" s="24"/>
      <c r="D68" s="24"/>
      <c r="E68" s="24"/>
      <c r="F68" s="24" t="s">
        <v>95</v>
      </c>
      <c r="G68" s="24" t="s">
        <v>170</v>
      </c>
      <c r="H68" s="24"/>
      <c r="I68" s="24"/>
      <c r="J68" s="24"/>
      <c r="K68" s="24"/>
      <c r="L68" s="24"/>
      <c r="M68" s="20"/>
    </row>
    <row r="69" ht="15" customHeight="1" spans="1:13" x14ac:dyDescent="0.25">
      <c r="A69" s="24"/>
      <c r="B69" s="24"/>
      <c r="C69" s="24"/>
      <c r="D69" s="24"/>
      <c r="E69" s="24"/>
      <c r="F69" s="24" t="s">
        <v>98</v>
      </c>
      <c r="G69" s="24" t="s">
        <v>171</v>
      </c>
      <c r="H69" s="24"/>
      <c r="I69" s="24"/>
      <c r="J69" s="24"/>
      <c r="K69" s="24"/>
      <c r="L69" s="24"/>
      <c r="M69" s="20"/>
    </row>
    <row r="70" ht="105" customHeight="1" spans="1:13" x14ac:dyDescent="0.25">
      <c r="A70" s="24"/>
      <c r="B70" s="24"/>
      <c r="C70" s="24"/>
      <c r="D70" s="24"/>
      <c r="E70" s="24"/>
      <c r="F70" s="24" t="s">
        <v>99</v>
      </c>
      <c r="G70" s="24" t="s">
        <v>172</v>
      </c>
      <c r="H70" s="24"/>
      <c r="I70" s="24" t="s">
        <v>173</v>
      </c>
      <c r="J70" s="24"/>
      <c r="K70" s="24"/>
      <c r="L70" s="24"/>
      <c r="M70" s="20"/>
    </row>
  </sheetData>
  <mergeCells count="70">
    <mergeCell ref="A2:A5"/>
    <mergeCell ref="B2:B5"/>
    <mergeCell ref="C2:C5"/>
    <mergeCell ref="D2:D5"/>
    <mergeCell ref="E2:E5"/>
    <mergeCell ref="A7:A10"/>
    <mergeCell ref="B7:B10"/>
    <mergeCell ref="C7:C10"/>
    <mergeCell ref="D7:D10"/>
    <mergeCell ref="E7:E10"/>
    <mergeCell ref="A12:A15"/>
    <mergeCell ref="B12:B15"/>
    <mergeCell ref="C12:C15"/>
    <mergeCell ref="D12:D15"/>
    <mergeCell ref="E12:E15"/>
    <mergeCell ref="A17:A20"/>
    <mergeCell ref="B17:B20"/>
    <mergeCell ref="C17:C20"/>
    <mergeCell ref="D17:D20"/>
    <mergeCell ref="E17:E20"/>
    <mergeCell ref="A22:A25"/>
    <mergeCell ref="B22:B25"/>
    <mergeCell ref="C22:C25"/>
    <mergeCell ref="D22:D25"/>
    <mergeCell ref="E22:E25"/>
    <mergeCell ref="A27:A30"/>
    <mergeCell ref="B27:B30"/>
    <mergeCell ref="C27:C30"/>
    <mergeCell ref="D27:D30"/>
    <mergeCell ref="E27:E30"/>
    <mergeCell ref="A32:A35"/>
    <mergeCell ref="B32:B35"/>
    <mergeCell ref="C32:C35"/>
    <mergeCell ref="D32:D35"/>
    <mergeCell ref="E32:E35"/>
    <mergeCell ref="A37:A40"/>
    <mergeCell ref="B37:B40"/>
    <mergeCell ref="C37:C40"/>
    <mergeCell ref="D37:D40"/>
    <mergeCell ref="E37:E40"/>
    <mergeCell ref="A42:A45"/>
    <mergeCell ref="B42:B45"/>
    <mergeCell ref="C42:C45"/>
    <mergeCell ref="D42:D45"/>
    <mergeCell ref="E42:E45"/>
    <mergeCell ref="A47:A50"/>
    <mergeCell ref="B47:B50"/>
    <mergeCell ref="C47:C50"/>
    <mergeCell ref="D47:D50"/>
    <mergeCell ref="E47:E50"/>
    <mergeCell ref="A52:A55"/>
    <mergeCell ref="B52:B55"/>
    <mergeCell ref="C52:C55"/>
    <mergeCell ref="D52:D55"/>
    <mergeCell ref="E52:E55"/>
    <mergeCell ref="A57:A60"/>
    <mergeCell ref="B57:B60"/>
    <mergeCell ref="C57:C60"/>
    <mergeCell ref="D57:D60"/>
    <mergeCell ref="E57:E60"/>
    <mergeCell ref="A62:A65"/>
    <mergeCell ref="B62:B65"/>
    <mergeCell ref="C62:C65"/>
    <mergeCell ref="D62:D65"/>
    <mergeCell ref="E62:E65"/>
    <mergeCell ref="A67:A70"/>
    <mergeCell ref="B67:B70"/>
    <mergeCell ref="C67:C70"/>
    <mergeCell ref="D67:D70"/>
    <mergeCell ref="E67:E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O1"/>
  <sheetViews>
    <sheetView workbookViewId="0" zoomScale="100" zoomScaleNormal="100">
      <selection activeCell="K9" sqref="K9"/>
    </sheetView>
  </sheetViews>
  <sheetFormatPr defaultRowHeight="15" outlineLevelRow="0" outlineLevelCol="0" x14ac:dyDescent="0"/>
  <cols>
    <col min="15" max="15" width="24.7109375" customWidth="1"/>
  </cols>
  <sheetData>
    <row r="1" ht="60" customHeight="1" spans="1:15" x14ac:dyDescent="0.25">
      <c r="A1" s="27" t="s">
        <v>174</v>
      </c>
      <c r="B1" s="27" t="s">
        <v>175</v>
      </c>
      <c r="C1" s="27" t="s">
        <v>176</v>
      </c>
      <c r="D1" s="27" t="s">
        <v>177</v>
      </c>
      <c r="E1" s="27" t="s">
        <v>178</v>
      </c>
      <c r="F1" s="27" t="s">
        <v>179</v>
      </c>
      <c r="G1" s="27" t="s">
        <v>180</v>
      </c>
      <c r="H1" s="27" t="s">
        <v>181</v>
      </c>
      <c r="I1" s="27" t="s">
        <v>182</v>
      </c>
      <c r="J1" s="27" t="s">
        <v>183</v>
      </c>
      <c r="K1" s="27" t="s">
        <v>184</v>
      </c>
      <c r="L1" s="27" t="s">
        <v>63</v>
      </c>
      <c r="M1" s="27" t="s">
        <v>27</v>
      </c>
      <c r="N1" s="27" t="s">
        <v>185</v>
      </c>
      <c r="O1" s="27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workbookViewId="0" zoomScale="100" zoomScaleNormal="100">
      <selection activeCell="K6" sqref="K6"/>
    </sheetView>
  </sheetViews>
  <sheetFormatPr defaultRowHeight="15" outlineLevelRow="0" outlineLevelCol="0" x14ac:dyDescent="0"/>
  <sheetData>
    <row r="1" ht="45" customHeight="1" spans="1:8" x14ac:dyDescent="0.25">
      <c r="A1" s="14" t="s">
        <v>187</v>
      </c>
      <c r="B1" s="14" t="s">
        <v>176</v>
      </c>
      <c r="C1" s="14" t="s">
        <v>188</v>
      </c>
      <c r="D1" s="14" t="s">
        <v>189</v>
      </c>
      <c r="E1" s="14" t="s">
        <v>76</v>
      </c>
      <c r="F1" s="14" t="s">
        <v>190</v>
      </c>
      <c r="G1" s="14" t="s">
        <v>191</v>
      </c>
      <c r="H1" s="1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Early Observations</vt:lpstr>
      <vt:lpstr>Execution Plan</vt:lpstr>
      <vt:lpstr>Coverage</vt:lpstr>
      <vt:lpstr>Client Mapping</vt:lpstr>
      <vt:lpstr>Functional Testing</vt:lpstr>
      <vt:lpstr>Defects</vt:lpstr>
      <vt:lpstr>Regression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qa-agent</dc:creator>
  <cp:lastModifiedBy>Kuldeep Tiru</cp:lastModifiedBy>
  <dcterms:created xsi:type="dcterms:W3CDTF">2026-09-25T19:21:00Z</dcterms:created>
  <dcterms:modified xsi:type="dcterms:W3CDTF">2026-10-18T19:11:47Z</dcterms:modified>
</cp:coreProperties>
</file>